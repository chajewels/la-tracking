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Upload" sheetId="2" state="visible" r:id="rId4"/>
    <sheet name="Lists" sheetId="3" state="visible" r:id="rId5"/>
    <sheet name="Hub field map" sheetId="4" state="visible" r:id="rId6"/>
    <sheet name="Reference" sheetId="5" state="visible" r:id="rId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Rows 5–6 are examples from your Page365 export (R3341, R7828). Overwrite or delete them.</t>
        </r>
      </text>
    </comment>
  </commentList>
</comments>
</file>

<file path=xl/sharedStrings.xml><?xml version="1.0" encoding="utf-8"?>
<sst xmlns="http://schemas.openxmlformats.org/spreadsheetml/2006/main" count="269" uniqueCount="186">
  <si>
    <t xml:space="preserve">Cha Jewels product upload template</t>
  </si>
  <si>
    <t xml:space="preserve">Fill only the YELLOW cells on the Upload sheet (blue text = your input). White cells are formulas and fill themselves: sku, product_category, product_name, weight_kg, stock_amount.</t>
  </si>
  <si>
    <t xml:space="preserve">Columns A–X are exactly the Page365 columns, so this file still uploads to Page365. Gold columns Y–AF are the extra fields the Hub needs. Row 4 shows where each value lands in the Hub's Edit product modal.</t>
  </si>
  <si>
    <t xml:space="preserve">Minimum per product: buy_code, price, product_description, hub_jewelry_type, hub_metal, hub_weight_g, hub_condition, hub_status.</t>
  </si>
  <si>
    <t xml:space="preserve">Metal: choose the purity only (K18, PT900…). Write colour and mixed marks (K18WG, PT900/K18, 750YG/WG) in the description.</t>
  </si>
  <si>
    <t xml:space="preserve">Description: English only. The Hub translates it to Japanese automatically on save.</t>
  </si>
  <si>
    <t xml:space="preserve">Photos: paste public image URLs in image_1 … image_10, or leave blank and upload in the Hub after import.</t>
  </si>
  <si>
    <t xml:space="preserve">Price is JPY, number only. cost is optional and admin-only. Never enter peso prices.</t>
  </si>
  <si>
    <t xml:space="preserve">Terminology: never write 'Japan gold' or any '&lt;country&gt; gold'. The Hub rejects such rows.</t>
  </si>
  <si>
    <t xml:space="preserve">Upload: Hub › Website Catalog › Upload spreadsheet. Rows are matched by buy_code (SKU): existing pieces are updated, new ones created.</t>
  </si>
  <si>
    <t xml:space="preserve">parent_sku</t>
  </si>
  <si>
    <t xml:space="preserve">product_category</t>
  </si>
  <si>
    <t xml:space="preserve">sku</t>
  </si>
  <si>
    <t xml:space="preserve">buy_code</t>
  </si>
  <si>
    <t xml:space="preserve">product_name</t>
  </si>
  <si>
    <t xml:space="preserve">variant_name</t>
  </si>
  <si>
    <t xml:space="preserve">price</t>
  </si>
  <si>
    <t xml:space="preserve">cost</t>
  </si>
  <si>
    <t xml:space="preserve">stock_amount</t>
  </si>
  <si>
    <t xml:space="preserve">add_stock</t>
  </si>
  <si>
    <t xml:space="preserve">weight_kg</t>
  </si>
  <si>
    <t xml:space="preserve">product_description</t>
  </si>
  <si>
    <t xml:space="preserve">show_on_page365_store</t>
  </si>
  <si>
    <t xml:space="preserve">full_price</t>
  </si>
  <si>
    <t xml:space="preserve">image_1</t>
  </si>
  <si>
    <t xml:space="preserve">image_2</t>
  </si>
  <si>
    <t xml:space="preserve">image_3</t>
  </si>
  <si>
    <t xml:space="preserve">image_4</t>
  </si>
  <si>
    <t xml:space="preserve">image_5</t>
  </si>
  <si>
    <t xml:space="preserve">image_6</t>
  </si>
  <si>
    <t xml:space="preserve">image_7</t>
  </si>
  <si>
    <t xml:space="preserve">image_8</t>
  </si>
  <si>
    <t xml:space="preserve">image_9</t>
  </si>
  <si>
    <t xml:space="preserve">image_10</t>
  </si>
  <si>
    <t xml:space="preserve">hub_jewelry_type</t>
  </si>
  <si>
    <t xml:space="preserve">hub_metal</t>
  </si>
  <si>
    <t xml:space="preserve">hub_weight_g</t>
  </si>
  <si>
    <t xml:space="preserve">hub_stone</t>
  </si>
  <si>
    <t xml:space="preserve">hub_size</t>
  </si>
  <si>
    <t xml:space="preserve">hub_condition</t>
  </si>
  <si>
    <t xml:space="preserve">hub_status</t>
  </si>
  <si>
    <t xml:space="preserve">hub_design</t>
  </si>
  <si>
    <t xml:space="preserve">optional</t>
  </si>
  <si>
    <t xml:space="preserve">required</t>
  </si>
  <si>
    <t xml:space="preserve">Product SKU (aka. Parent SKU) is used to identify parent products. It will help group varaints with same product SKU into the same product. It is recommended that you do not duplicate this within your shop.</t>
  </si>
  <si>
    <t xml:space="preserve">Product album/category</t>
  </si>
  <si>
    <t xml:space="preserve">Stock keeping unit ID. SKU is a unique identifier for each product variation. SKU value cannot be duplicated in a shop.</t>
  </si>
  <si>
    <t xml:space="preserve">Mine code</t>
  </si>
  <si>
    <t xml:space="preserve">Product name (do not exceed 80 characters)</t>
  </si>
  <si>
    <t xml:space="preserve">Option name e.g. S M L, Blue S</t>
  </si>
  <si>
    <t xml:space="preserve">Price (number only) e.g. 99</t>
  </si>
  <si>
    <t xml:space="preserve">Cost</t>
  </si>
  <si>
    <t xml:space="preserve">Stock amount</t>
  </si>
  <si>
    <t xml:space="preserve">Add stock by this amount</t>
  </si>
  <si>
    <t xml:space="preserve">Weight (Kg)</t>
  </si>
  <si>
    <t xml:space="preserve">Product detail</t>
  </si>
  <si>
    <t xml:space="preserve">Show on Page365 Store (YES = show, NO = don't show)</t>
  </si>
  <si>
    <t xml:space="preserve">Full price (price before discount)</t>
  </si>
  <si>
    <t xml:space="preserve">Image URL of the 1st image</t>
  </si>
  <si>
    <t xml:space="preserve">Image URL of the 2nd image</t>
  </si>
  <si>
    <t xml:space="preserve">Image URL of the 3rd image</t>
  </si>
  <si>
    <t xml:space="preserve">Image URL of the 4th image</t>
  </si>
  <si>
    <t xml:space="preserve">Image URL of the 5th image</t>
  </si>
  <si>
    <t xml:space="preserve">Image URL of the 6th image</t>
  </si>
  <si>
    <t xml:space="preserve">Image URL of the 7th image</t>
  </si>
  <si>
    <t xml:space="preserve">Image URL of the 8th image</t>
  </si>
  <si>
    <t xml:space="preserve">Image URL of the 9th image</t>
  </si>
  <si>
    <t xml:space="preserve">Image URL of the 10th image</t>
  </si>
  <si>
    <t xml:space="preserve">Jewelry type (dropdown). Sets the SKU prefix and the Hub collection.</t>
  </si>
  <si>
    <t xml:space="preserve">Metal stamp(s) exactly as stamped (dropdown, or type several separated by / e.g. PT900/K18). 750 and 18K stay as written, never K18. Colour marks (WG, YG) go in the description.</t>
  </si>
  <si>
    <t xml:space="preserve">Weight in grams (number only). Hub weight_g. Page365 weight_kg fills by formula.</t>
  </si>
  <si>
    <t xml:space="preserve">Stone line for the spec plate, e.g. Diamond 3.82ct, 0.80ct / Akoya 7.5mm</t>
  </si>
  <si>
    <t xml:space="preserve">Ring size / length, e.g. 13 or 45cm. Hub variant size.</t>
  </si>
  <si>
    <t xml:space="preserve">New or Preloved (dropdown). Preloved adds [Preloved] to the name and shows a Preloved tag on the site.</t>
  </si>
  <si>
    <t xml:space="preserve">Active = visible on the website. Draft = saved but hidden (dropdown).</t>
  </si>
  <si>
    <t xml:space="preserve">Design words used in the product name, e.g. Dome, Layered Wave</t>
  </si>
  <si>
    <t xml:space="preserve">not used by Hub (Page365 only)</t>
  </si>
  <si>
    <t xml:space="preserve">Hub: Jewelry type — formula from hub_jewelry_type</t>
  </si>
  <si>
    <t xml:space="preserve">Page365 SKU — formula: type_code</t>
  </si>
  <si>
    <t xml:space="preserve">Hub: Edit product › SKU (MINE code, unique)</t>
  </si>
  <si>
    <t xml:space="preserve">Hub: Edit product › Name — formula, edit if needed</t>
  </si>
  <si>
    <t xml:space="preserve">not used by Hub (use hub_size)</t>
  </si>
  <si>
    <t xml:space="preserve">Hub: Edit product › Price (JPY)</t>
  </si>
  <si>
    <t xml:space="preserve">Hub: Edit product › Cost (admin only)</t>
  </si>
  <si>
    <t xml:space="preserve">Hub: Edit product › Stock qty</t>
  </si>
  <si>
    <t xml:space="preserve">not used by Hub</t>
  </si>
  <si>
    <t xml:space="preserve">Page365 only — formula from hub_weight_g</t>
  </si>
  <si>
    <t xml:space="preserve">Hub: Edit product › Description (English). Include metal colour/mix here, e.g. K18WG. Japanese auto-translates.</t>
  </si>
  <si>
    <t xml:space="preserve">Page365 only</t>
  </si>
  <si>
    <t xml:space="preserve">Hub: Edit product › Photos (public URL), order kept</t>
  </si>
  <si>
    <t xml:space="preserve">Hub: Edit product › jewelry type</t>
  </si>
  <si>
    <t xml:space="preserve">Hub: Edit product › metal</t>
  </si>
  <si>
    <t xml:space="preserve">Hub: Edit product › weight g</t>
  </si>
  <si>
    <t xml:space="preserve">Hub: Edit product › stone</t>
  </si>
  <si>
    <t xml:space="preserve">Hub: Edit product › size</t>
  </si>
  <si>
    <t xml:space="preserve">Hub: Edit product › condition</t>
  </si>
  <si>
    <t xml:space="preserve">Hub: Edit product › status</t>
  </si>
  <si>
    <t xml:space="preserve">Name part only — not imported</t>
  </si>
  <si>
    <t xml:space="preserve">R3341</t>
  </si>
  <si>
    <t xml:space="preserve">K18WG dome ring, 16.20g, set with 3.82ct and 0.80ct diamonds. Size 13. Preloved, authenticated in Japan.</t>
  </si>
  <si>
    <t xml:space="preserve">NO</t>
  </si>
  <si>
    <t xml:space="preserve">Ring</t>
  </si>
  <si>
    <t xml:space="preserve">K18</t>
  </si>
  <si>
    <t xml:space="preserve">Diamond 3.82ct, 0.80ct</t>
  </si>
  <si>
    <t xml:space="preserve">13</t>
  </si>
  <si>
    <t xml:space="preserve">Preloved</t>
  </si>
  <si>
    <t xml:space="preserve">Draft</t>
  </si>
  <si>
    <t xml:space="preserve">Dome</t>
  </si>
  <si>
    <t xml:space="preserve">R7828</t>
  </si>
  <si>
    <t xml:space="preserve">750 yellow and white gold layered wave ring, 19.0g, 2.70ct diamonds. Size 18. Preloved, authenticated in Japan.</t>
  </si>
  <si>
    <t xml:space="preserve">Diamond 2.70ct</t>
  </si>
  <si>
    <t xml:space="preserve">18</t>
  </si>
  <si>
    <t xml:space="preserve">Layered Wave</t>
  </si>
  <si>
    <t xml:space="preserve">jewelry_type</t>
  </si>
  <si>
    <t xml:space="preserve">metal</t>
  </si>
  <si>
    <t xml:space="preserve">condition</t>
  </si>
  <si>
    <t xml:space="preserve">status</t>
  </si>
  <si>
    <t xml:space="preserve">yes_no</t>
  </si>
  <si>
    <t xml:space="preserve">New</t>
  </si>
  <si>
    <t xml:space="preserve">Active</t>
  </si>
  <si>
    <t xml:space="preserve">YES</t>
  </si>
  <si>
    <t xml:space="preserve">Necklace</t>
  </si>
  <si>
    <t xml:space="preserve">K14</t>
  </si>
  <si>
    <t xml:space="preserve">Pendant</t>
  </si>
  <si>
    <t xml:space="preserve">K10</t>
  </si>
  <si>
    <t xml:space="preserve">Bracelet</t>
  </si>
  <si>
    <t xml:space="preserve">PT1000</t>
  </si>
  <si>
    <t xml:space="preserve">Earrings</t>
  </si>
  <si>
    <t xml:space="preserve">PT950</t>
  </si>
  <si>
    <t xml:space="preserve">Anklet</t>
  </si>
  <si>
    <t xml:space="preserve">PT900</t>
  </si>
  <si>
    <t xml:space="preserve">Set</t>
  </si>
  <si>
    <t xml:space="preserve">SILVER925</t>
  </si>
  <si>
    <t xml:space="preserve">Template column</t>
  </si>
  <si>
    <t xml:space="preserve">Required</t>
  </si>
  <si>
    <t xml:space="preserve">Edit product modal field</t>
  </si>
  <si>
    <t xml:space="preserve">Rule / format</t>
  </si>
  <si>
    <t xml:space="preserve">Example</t>
  </si>
  <si>
    <t xml:space="preserve">SKU</t>
  </si>
  <si>
    <t xml:space="preserve">Your MINE code, unique. Import key: matching SKU updates the piece.</t>
  </si>
  <si>
    <t xml:space="preserve">auto</t>
  </si>
  <si>
    <t xml:space="preserve">Name</t>
  </si>
  <si>
    <t xml:space="preserve">Formula: code type metal weight stone design size [Preloved]. Max 80 chars; edit if needed.</t>
  </si>
  <si>
    <t xml:space="preserve">R3341 Ring K18 16.20g Diamond 3.82ct, 0.80ct Dome Sz# 13 [Preloved]</t>
  </si>
  <si>
    <t xml:space="preserve">Jewelry type</t>
  </si>
  <si>
    <t xml:space="preserve">Ring / Necklace / Pendant / Bracelet / Earrings / Anklet / Set</t>
  </si>
  <si>
    <t xml:space="preserve">Metal</t>
  </si>
  <si>
    <t xml:space="preserve">One or more of K24, K18, 750, 18K, K14, K10, PT1000, PT950, PT900, PT850, PM, PM900, SILVER925 — several separated by /, order kept</t>
  </si>
  <si>
    <t xml:space="preserve">Weight (g)</t>
  </si>
  <si>
    <t xml:space="preserve">Number, grams</t>
  </si>
  <si>
    <t xml:space="preserve">16.2</t>
  </si>
  <si>
    <t xml:space="preserve">Description (EN)</t>
  </si>
  <si>
    <t xml:space="preserve">English; include colour/mix marks here. JA auto-generated.</t>
  </si>
  <si>
    <t xml:space="preserve">K18WG dome ring, 16.20g…</t>
  </si>
  <si>
    <t xml:space="preserve">Condition</t>
  </si>
  <si>
    <t xml:space="preserve">New / Preloved</t>
  </si>
  <si>
    <t xml:space="preserve">Status</t>
  </si>
  <si>
    <t xml:space="preserve">Active / Draft</t>
  </si>
  <si>
    <t xml:space="preserve">Size</t>
  </si>
  <si>
    <t xml:space="preserve">Ring size or length</t>
  </si>
  <si>
    <t xml:space="preserve">Stone</t>
  </si>
  <si>
    <t xml:space="preserve">Free text</t>
  </si>
  <si>
    <t xml:space="preserve">Price (JPY)</t>
  </si>
  <si>
    <t xml:space="preserve">Integer yen</t>
  </si>
  <si>
    <t xml:space="preserve">628980</t>
  </si>
  <si>
    <t xml:space="preserve">Cost (admin only)</t>
  </si>
  <si>
    <t xml:space="preserve">Never leaves the Hub</t>
  </si>
  <si>
    <t xml:space="preserve">410000</t>
  </si>
  <si>
    <t xml:space="preserve">Stock qty</t>
  </si>
  <si>
    <t xml:space="preserve">Formula = 1; change for multiples</t>
  </si>
  <si>
    <t xml:space="preserve">1</t>
  </si>
  <si>
    <t xml:space="preserve">image_1 … image_10</t>
  </si>
  <si>
    <t xml:space="preserve">Photos</t>
  </si>
  <si>
    <t xml:space="preserve">Public URLs, order kept</t>
  </si>
  <si>
    <t xml:space="preserve">https://…/r3341-1.jpg</t>
  </si>
  <si>
    <t xml:space="preserve">sku, product_category, weight_kg, parent_sku, variant_name, add_stock, show_on_page365_store, full_price</t>
  </si>
  <si>
    <t xml:space="preserve">—</t>
  </si>
  <si>
    <t xml:space="preserve">Not imported</t>
  </si>
  <si>
    <t xml:space="preserve">Page365 only; ignored by the Hub importer</t>
  </si>
  <si>
    <t xml:space="preserve">K24</t>
  </si>
  <si>
    <t xml:space="preserve">750</t>
  </si>
  <si>
    <t xml:space="preserve">18K</t>
  </si>
  <si>
    <t xml:space="preserve">PT850</t>
  </si>
  <si>
    <t xml:space="preserve">PM</t>
  </si>
  <si>
    <t xml:space="preserve">PM900</t>
  </si>
  <si>
    <t xml:space="preserve">PT900/K18</t>
  </si>
</sst>
</file>

<file path=xl/styles.xml><?xml version="1.0" encoding="utf-8"?>
<styleSheet xmlns="http://schemas.openxmlformats.org/spreadsheetml/2006/main">
  <numFmts count="2">
    <numFmt numFmtId="164" formatCode="General"/>
    <numFmt numFmtId="165" formatCode="#,##0"/>
  </numFmts>
  <fonts count="14">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1"/>
      <color rgb="FFFFFFFF"/>
      <name val="Arial"/>
      <family val="0"/>
      <charset val="1"/>
    </font>
    <font>
      <b val="true"/>
      <sz val="9"/>
      <color rgb="FF555555"/>
      <name val="Arial"/>
      <family val="0"/>
      <charset val="1"/>
    </font>
    <font>
      <b val="true"/>
      <sz val="9"/>
      <color rgb="FFB00020"/>
      <name val="Arial"/>
      <family val="0"/>
      <charset val="1"/>
    </font>
    <font>
      <i val="true"/>
      <sz val="9"/>
      <color rgb="FF555555"/>
      <name val="Arial"/>
      <family val="0"/>
      <charset val="1"/>
    </font>
    <font>
      <sz val="11"/>
      <name val="Arial"/>
      <family val="0"/>
      <charset val="1"/>
    </font>
    <font>
      <sz val="11"/>
      <color rgb="FF0000FF"/>
      <name val="Arial"/>
      <family val="0"/>
      <charset val="1"/>
    </font>
    <font>
      <sz val="10"/>
      <name val="Arial"/>
      <family val="2"/>
    </font>
    <font>
      <b val="true"/>
      <sz val="11"/>
      <name val="Arial"/>
      <family val="0"/>
      <charset val="1"/>
    </font>
  </fonts>
  <fills count="6">
    <fill>
      <patternFill patternType="none"/>
    </fill>
    <fill>
      <patternFill patternType="gray125"/>
    </fill>
    <fill>
      <patternFill patternType="solid">
        <fgColor rgb="FF0F2A22"/>
        <bgColor rgb="FF333333"/>
      </patternFill>
    </fill>
    <fill>
      <patternFill patternType="solid">
        <fgColor rgb="FFC9A227"/>
        <bgColor rgb="FF99CC00"/>
      </patternFill>
    </fill>
    <fill>
      <patternFill patternType="solid">
        <fgColor rgb="FFEFEFEF"/>
        <bgColor rgb="FFFFF2CC"/>
      </patternFill>
    </fill>
    <fill>
      <patternFill patternType="solid">
        <fgColor rgb="FFFFF2CC"/>
        <bgColor rgb="FFEFEFEF"/>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5" fontId="11" fillId="5"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BBBBBB"/>
      <rgbColor rgb="FF808080"/>
      <rgbColor rgb="FF9999FF"/>
      <rgbColor rgb="FF993366"/>
      <rgbColor rgb="FFFFF2CC"/>
      <rgbColor rgb="FFEFEF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A227"/>
      <rgbColor rgb="FFFF6600"/>
      <rgbColor rgb="FF555555"/>
      <rgbColor rgb="FF969696"/>
      <rgbColor rgb="FF003366"/>
      <rgbColor rgb="FF339966"/>
      <rgbColor rgb="FF0F2A22"/>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 Id="rId8" Type="http://schemas.openxmlformats.org/officeDocument/2006/relationships/worksheet" Target="worksheets/sheet5.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6.15" hidden="false" customHeight="false" outlineLevel="0" collapsed="false">
      <c r="A1" s="1" t="s">
        <v>0</v>
      </c>
    </row>
    <row r="2" customFormat="false" ht="23.85" hidden="false" customHeight="false" outlineLevel="0" collapsed="false">
      <c r="A2" s="2" t="s">
        <v>1</v>
      </c>
    </row>
    <row r="3" customFormat="false" ht="23.8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15" hidden="false" customHeight="false" outlineLevel="0" collapsed="false">
      <c r="A7" s="2" t="s">
        <v>6</v>
      </c>
    </row>
    <row r="8" customFormat="false" ht="15" hidden="false" customHeight="false" outlineLevel="0" collapsed="false">
      <c r="A8" s="2" t="s">
        <v>7</v>
      </c>
    </row>
    <row r="9" customFormat="false" ht="15" hidden="false" customHeight="false" outlineLevel="0" collapsed="false">
      <c r="A9" s="2" t="s">
        <v>8</v>
      </c>
    </row>
    <row r="10" customFormat="false" ht="15" hidden="false" customHeight="false" outlineLevel="0" collapsed="false">
      <c r="A10"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4" min="1" style="0" width="18"/>
    <col collapsed="false" customWidth="true" hidden="false" outlineLevel="0" max="5" min="5" style="0" width="46"/>
    <col collapsed="false" customWidth="true" hidden="false" outlineLevel="0" max="11" min="6" style="0" width="18"/>
    <col collapsed="false" customWidth="true" hidden="false" outlineLevel="0" max="12" min="12" style="0" width="40"/>
    <col collapsed="false" customWidth="true" hidden="false" outlineLevel="0" max="24" min="13" style="0" width="18"/>
    <col collapsed="false" customWidth="true" hidden="false" outlineLevel="0" max="34" min="25" style="0" width="20"/>
    <col collapsed="false" customWidth="true" hidden="false" outlineLevel="0" max="37" min="37" style="0" width="20"/>
  </cols>
  <sheetData>
    <row r="1" customFormat="false" ht="26.85" hidden="false" customHeight="false" outlineLevel="0" collapsed="false">
      <c r="A1" s="3" t="s">
        <v>10</v>
      </c>
      <c r="B1" s="3" t="s">
        <v>11</v>
      </c>
      <c r="C1" s="3" t="s">
        <v>12</v>
      </c>
      <c r="D1" s="3" t="s">
        <v>13</v>
      </c>
      <c r="E1" s="3" t="s">
        <v>14</v>
      </c>
      <c r="F1" s="3" t="s">
        <v>15</v>
      </c>
      <c r="G1" s="3" t="s">
        <v>16</v>
      </c>
      <c r="H1" s="3" t="s">
        <v>17</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4" t="s">
        <v>34</v>
      </c>
      <c r="Z1" s="4" t="s">
        <v>35</v>
      </c>
      <c r="AA1" s="4" t="s">
        <v>36</v>
      </c>
      <c r="AB1" s="4" t="s">
        <v>37</v>
      </c>
      <c r="AC1" s="4" t="s">
        <v>38</v>
      </c>
      <c r="AD1" s="4" t="s">
        <v>39</v>
      </c>
      <c r="AE1" s="4" t="s">
        <v>40</v>
      </c>
      <c r="AF1" s="4" t="s">
        <v>41</v>
      </c>
      <c r="AG1" s="4" t="inlineStr">
        <is>
          <t xml:space="preserve">hub_origin</t>
        </is>
      </c>
      <c r="AH1" s="4" t="inlineStr">
        <is>
          <t xml:space="preserve">hub_brand</t>
        </is>
      </c>
      <c r="AI1" s="4" t="inlineStr">
        <is>
          <t xml:space="preserve">collection_slugs</t>
        </is>
      </c>
      <c r="AJ1" s="4" t="inlineStr">
        <is>
          <t xml:space="preserve">category_slugs</t>
        </is>
      </c>
      <c r="AK1" s="4" t="inlineStr">
        <is>
          <t xml:space="preserve">hub_sale_price</t>
        </is>
      </c>
    </row>
    <row r="2" customFormat="false" ht="15" hidden="false" customHeight="false" outlineLevel="0" collapsed="false">
      <c r="A2" s="5" t="s">
        <v>42</v>
      </c>
      <c r="B2" s="6" t="s">
        <v>43</v>
      </c>
      <c r="C2" s="6" t="s">
        <v>43</v>
      </c>
      <c r="D2" s="5" t="s">
        <v>42</v>
      </c>
      <c r="E2" s="6" t="s">
        <v>43</v>
      </c>
      <c r="F2" s="6" t="s">
        <v>43</v>
      </c>
      <c r="G2" s="6" t="s">
        <v>43</v>
      </c>
      <c r="H2" s="5" t="s">
        <v>42</v>
      </c>
      <c r="I2" s="5" t="s">
        <v>42</v>
      </c>
      <c r="J2" s="5" t="s">
        <v>42</v>
      </c>
      <c r="K2" s="5" t="s">
        <v>42</v>
      </c>
      <c r="L2" s="5" t="s">
        <v>42</v>
      </c>
      <c r="M2" s="6" t="s">
        <v>43</v>
      </c>
      <c r="N2" s="5" t="s">
        <v>42</v>
      </c>
      <c r="O2" s="5" t="s">
        <v>42</v>
      </c>
      <c r="P2" s="5" t="s">
        <v>42</v>
      </c>
      <c r="Q2" s="5" t="s">
        <v>42</v>
      </c>
      <c r="R2" s="5" t="s">
        <v>42</v>
      </c>
      <c r="S2" s="5" t="s">
        <v>42</v>
      </c>
      <c r="T2" s="5" t="s">
        <v>42</v>
      </c>
      <c r="U2" s="5" t="s">
        <v>42</v>
      </c>
      <c r="V2" s="5" t="s">
        <v>42</v>
      </c>
      <c r="W2" s="5" t="s">
        <v>42</v>
      </c>
      <c r="X2" s="5" t="s">
        <v>42</v>
      </c>
      <c r="Y2" s="6" t="s">
        <v>43</v>
      </c>
      <c r="Z2" s="6" t="s">
        <v>43</v>
      </c>
      <c r="AA2" s="6" t="s">
        <v>43</v>
      </c>
      <c r="AB2" s="5" t="s">
        <v>42</v>
      </c>
      <c r="AC2" s="5" t="s">
        <v>42</v>
      </c>
      <c r="AD2" s="6" t="s">
        <v>43</v>
      </c>
      <c r="AE2" s="6" t="s">
        <v>43</v>
      </c>
      <c r="AF2" s="5" t="s">
        <v>42</v>
      </c>
      <c r="AG2" s="5" t="inlineStr">
        <is>
          <t xml:space="preserve">optional</t>
        </is>
      </c>
      <c r="AH2" s="5" t="inlineStr">
        <is>
          <t xml:space="preserve">optional</t>
        </is>
      </c>
      <c r="AI2" s="5" t="inlineStr">
        <is>
          <t xml:space="preserve">optional</t>
        </is>
      </c>
      <c r="AJ2" s="5" t="inlineStr">
        <is>
          <t xml:space="preserve">optional</t>
        </is>
      </c>
      <c r="AK2" s="5" t="inlineStr">
        <is>
          <t xml:space="preserve">optional</t>
        </is>
      </c>
    </row>
    <row r="3" customFormat="false" ht="79.5" hidden="false" customHeight="true" outlineLevel="0" collapsed="false">
      <c r="A3" s="7" t="s">
        <v>44</v>
      </c>
      <c r="B3" s="7" t="s">
        <v>45</v>
      </c>
      <c r="C3" s="7" t="s">
        <v>46</v>
      </c>
      <c r="D3" s="7" t="s">
        <v>47</v>
      </c>
      <c r="E3" s="7" t="s">
        <v>48</v>
      </c>
      <c r="F3" s="7" t="s">
        <v>49</v>
      </c>
      <c r="G3" s="7" t="s">
        <v>50</v>
      </c>
      <c r="H3" s="7" t="s">
        <v>51</v>
      </c>
      <c r="I3" s="7" t="s">
        <v>52</v>
      </c>
      <c r="J3" s="7" t="s">
        <v>53</v>
      </c>
      <c r="K3" s="7" t="s">
        <v>54</v>
      </c>
      <c r="L3" s="7" t="s">
        <v>55</v>
      </c>
      <c r="M3" s="7" t="s">
        <v>56</v>
      </c>
      <c r="N3" s="7" t="s">
        <v>57</v>
      </c>
      <c r="O3" s="7" t="s">
        <v>58</v>
      </c>
      <c r="P3" s="7" t="s">
        <v>59</v>
      </c>
      <c r="Q3" s="7" t="s">
        <v>60</v>
      </c>
      <c r="R3" s="7" t="s">
        <v>61</v>
      </c>
      <c r="S3" s="7" t="s">
        <v>62</v>
      </c>
      <c r="T3" s="7" t="s">
        <v>63</v>
      </c>
      <c r="U3" s="7" t="s">
        <v>64</v>
      </c>
      <c r="V3" s="7" t="s">
        <v>65</v>
      </c>
      <c r="W3" s="7" t="s">
        <v>66</v>
      </c>
      <c r="X3" s="7" t="s">
        <v>67</v>
      </c>
      <c r="Y3" s="7" t="s">
        <v>68</v>
      </c>
      <c r="Z3" s="7" t="s">
        <v>69</v>
      </c>
      <c r="AA3" s="7" t="s">
        <v>70</v>
      </c>
      <c r="AB3" s="7" t="s">
        <v>71</v>
      </c>
      <c r="AC3" s="7" t="s">
        <v>72</v>
      </c>
      <c r="AD3" s="7" t="s">
        <v>73</v>
      </c>
      <c r="AE3" s="7" t="s">
        <v>74</v>
      </c>
      <c r="AF3" s="7" t="s">
        <v>75</v>
      </c>
      <c r="AG3" s="7" t="inlineStr">
        <is>
          <t xml:space="preserve">Where the piece is from (dropdown). Made in Japan = the site shows 日本製 / Made in Japan for THIS piece. Branded = the site shows the brand name and no origin. Other / Unknown = the site says nothing. Blank = Unknown. Never guess.</t>
        </is>
      </c>
      <c r="AH3" s="7" t="inlineStr">
        <is>
          <t xml:space="preserve">Brand name, e.g. Tiffany &amp; Co. Required when hub_origin is Branded; shown on the site only then. Name only — never a logo.</t>
        </is>
      </c>
      <c r="AI3" s="7" t="inlineStr">
        <is>
          <t xml:space="preserve">Extra jewelry types for this piece, by slug, separated with | (e.g. necklaces|pendants). hub_jewelry_type stays the main type. Slugs are listed on the Reference sheet and in the upload dialog. Blank = keep the piece’s existing types.</t>
        </is>
      </c>
      <c r="AJ3" s="7" t="inlineStr">
        <is>
          <t xml:space="preserve">Website categories for this piece, by slug, separated with | (e.g. preloved|gifts). Slugs are listed on the Reference sheet and in the upload dialog. Blank = keep the piece’s existing categories; the import never removes categories unless you choose Replace.</t>
        </is>
      </c>
      <c r="AK3" s="7" t="inlineStr">
        <is>
          <t xml:space="preserve">Optional sale price in whole yen, below price. Blank = keep the piece's existing sale (none on a new piece); remove a sale in Edit product. The website charges it and shows price struck through beside it.</t>
        </is>
      </c>
    </row>
    <row r="4" customFormat="false" ht="48" hidden="false" customHeight="true" outlineLevel="0" collapsed="false">
      <c r="A4" s="7" t="s">
        <v>76</v>
      </c>
      <c r="B4" s="7" t="s">
        <v>77</v>
      </c>
      <c r="C4" s="7" t="s">
        <v>78</v>
      </c>
      <c r="D4" s="7" t="s">
        <v>79</v>
      </c>
      <c r="E4" s="7" t="s">
        <v>80</v>
      </c>
      <c r="F4" s="7" t="s">
        <v>81</v>
      </c>
      <c r="G4" s="7" t="s">
        <v>82</v>
      </c>
      <c r="H4" s="7" t="s">
        <v>83</v>
      </c>
      <c r="I4" s="7" t="s">
        <v>84</v>
      </c>
      <c r="J4" s="7" t="s">
        <v>85</v>
      </c>
      <c r="K4" s="7" t="s">
        <v>86</v>
      </c>
      <c r="L4" s="7" t="s">
        <v>87</v>
      </c>
      <c r="M4" s="7" t="s">
        <v>88</v>
      </c>
      <c r="N4" s="7" t="s">
        <v>85</v>
      </c>
      <c r="O4" s="7" t="s">
        <v>89</v>
      </c>
      <c r="P4" s="7" t="s">
        <v>89</v>
      </c>
      <c r="Q4" s="7" t="s">
        <v>89</v>
      </c>
      <c r="R4" s="7" t="s">
        <v>89</v>
      </c>
      <c r="S4" s="7" t="s">
        <v>89</v>
      </c>
      <c r="T4" s="7" t="s">
        <v>89</v>
      </c>
      <c r="U4" s="7" t="s">
        <v>89</v>
      </c>
      <c r="V4" s="7" t="s">
        <v>89</v>
      </c>
      <c r="W4" s="7" t="s">
        <v>89</v>
      </c>
      <c r="X4" s="7" t="s">
        <v>89</v>
      </c>
      <c r="Y4" s="7" t="s">
        <v>90</v>
      </c>
      <c r="Z4" s="7" t="s">
        <v>91</v>
      </c>
      <c r="AA4" s="7" t="s">
        <v>92</v>
      </c>
      <c r="AB4" s="7" t="s">
        <v>93</v>
      </c>
      <c r="AC4" s="7" t="s">
        <v>94</v>
      </c>
      <c r="AD4" s="7" t="s">
        <v>95</v>
      </c>
      <c r="AE4" s="7" t="s">
        <v>96</v>
      </c>
      <c r="AF4" s="7" t="s">
        <v>97</v>
      </c>
      <c r="AG4" s="7" t="inlineStr">
        <is>
          <t xml:space="preserve">Hub: Edit product › origin</t>
        </is>
      </c>
      <c r="AH4" s="7" t="inlineStr">
        <is>
          <t xml:space="preserve">Hub: Edit product › brand</t>
        </is>
      </c>
      <c r="AI4" s="7" t="inlineStr">
        <is>
          <t xml:space="preserve">Hub: Edit product › Jewelry types</t>
        </is>
      </c>
      <c r="AJ4" s="7" t="inlineStr">
        <is>
          <t xml:space="preserve">Hub: Edit product › Categories</t>
        </is>
      </c>
      <c r="AK4" s="7" t="inlineStr">
        <is>
          <t xml:space="preserve">Hub: Edit product › Sale price (JPY)</t>
        </is>
      </c>
    </row>
    <row r="5" customFormat="false" ht="39.55" hidden="false" customHeight="false" outlineLevel="0" collapsed="false">
      <c r="A5" s="8"/>
      <c r="B5" s="8" t="str">
        <f aca="false">IF(D5="","",Y5)</f>
        <v>Ring</v>
      </c>
      <c r="C5" s="8" t="str">
        <f aca="false">IF(D5="","",Y5&amp;"_"&amp;D5)</f>
        <v>Ring_R3341</v>
      </c>
      <c r="D5" s="9" t="s">
        <v>98</v>
      </c>
      <c r="E5" s="8" t="str">
        <f aca="false">IF(D5="","",TRIM(D5&amp;" "&amp;Y5&amp;" "&amp;Z5&amp;" "&amp;IF(AA5="","",TEXT(AA5,"0.00")&amp;"g")&amp;" "&amp;AB5&amp;" "&amp;AF5&amp;IF(AC5="",""," Sz# "&amp;AC5)&amp;IF(AD5="Preloved"," [Preloved]","")))</f>
        <v>R3341 Ring K18 16.20g Diamond 3.82ct, 0.80ct Dome Sz# 13 [Preloved]</v>
      </c>
      <c r="F5" s="8"/>
      <c r="G5" s="10" t="n">
        <v>628980</v>
      </c>
      <c r="H5" s="10"/>
      <c r="I5" s="8" t="n">
        <f aca="false">IF(D5="","",1)</f>
        <v>1</v>
      </c>
      <c r="J5" s="8"/>
      <c r="K5" s="8" t="n">
        <f aca="false">IF(AA5="","",AA5/1000)</f>
        <v>0.0162</v>
      </c>
      <c r="L5" s="11" t="s">
        <v>99</v>
      </c>
      <c r="M5" s="9" t="s">
        <v>100</v>
      </c>
      <c r="N5" s="8"/>
      <c r="O5" s="9"/>
      <c r="P5" s="9"/>
      <c r="Q5" s="9"/>
      <c r="R5" s="9"/>
      <c r="S5" s="9"/>
      <c r="T5" s="9"/>
      <c r="U5" s="9"/>
      <c r="V5" s="9"/>
      <c r="W5" s="9"/>
      <c r="X5" s="9"/>
      <c r="Y5" s="9" t="s">
        <v>101</v>
      </c>
      <c r="Z5" s="9" t="s">
        <v>102</v>
      </c>
      <c r="AA5" s="9" t="n">
        <v>16.2</v>
      </c>
      <c r="AB5" s="9" t="s">
        <v>103</v>
      </c>
      <c r="AC5" s="9" t="s">
        <v>104</v>
      </c>
      <c r="AD5" s="9" t="s">
        <v>105</v>
      </c>
      <c r="AE5" s="9" t="s">
        <v>106</v>
      </c>
      <c r="AF5" s="9" t="s">
        <v>107</v>
      </c>
      <c r="AG5" s="9" t="inlineStr">
        <is>
          <t xml:space="preserve">Unknown</t>
        </is>
      </c>
      <c r="AH5" s="9" t="inlineStr">
        <is>
          <t xml:space="preserve"/>
        </is>
      </c>
    </row>
    <row r="6" customFormat="false" ht="39.55" hidden="false" customHeight="false" outlineLevel="0" collapsed="false">
      <c r="A6" s="8"/>
      <c r="B6" s="8" t="str">
        <f aca="false">IF(D6="","",Y6)</f>
        <v>Ring</v>
      </c>
      <c r="C6" s="8" t="str">
        <f aca="false">IF(D6="","",Y6&amp;"_"&amp;D6)</f>
        <v>Ring_R7828</v>
      </c>
      <c r="D6" s="9" t="s">
        <v>108</v>
      </c>
      <c r="E6" s="8" t="str">
        <f aca="false">IF(D6="","",TRIM(D6&amp;" "&amp;Y6&amp;" "&amp;Z6&amp;" "&amp;IF(AA6="","",TEXT(AA6,"0.00")&amp;"g")&amp;" "&amp;AB6&amp;" "&amp;AF6&amp;IF(AC6="",""," Sz# "&amp;AC6)&amp;IF(AD6="Preloved"," [Preloved]","")))</f>
        <v>R7828 Ring K18 19.00g Diamond 2.70ct Layered Wave Sz# 18 [Preloved]</v>
      </c>
      <c r="F6" s="8"/>
      <c r="G6" s="10" t="n">
        <v>679980</v>
      </c>
      <c r="H6" s="10"/>
      <c r="I6" s="8" t="n">
        <f aca="false">IF(D6="","",1)</f>
        <v>1</v>
      </c>
      <c r="J6" s="8"/>
      <c r="K6" s="8" t="n">
        <f aca="false">IF(AA6="","",AA6/1000)</f>
        <v>0.019</v>
      </c>
      <c r="L6" s="11" t="s">
        <v>109</v>
      </c>
      <c r="M6" s="9" t="s">
        <v>100</v>
      </c>
      <c r="N6" s="8"/>
      <c r="O6" s="9"/>
      <c r="P6" s="9"/>
      <c r="Q6" s="9"/>
      <c r="R6" s="9"/>
      <c r="S6" s="9"/>
      <c r="T6" s="9"/>
      <c r="U6" s="9"/>
      <c r="V6" s="9"/>
      <c r="W6" s="9"/>
      <c r="X6" s="9"/>
      <c r="Y6" s="9" t="s">
        <v>101</v>
      </c>
      <c r="Z6" s="9" t="s">
        <v>102</v>
      </c>
      <c r="AA6" s="9" t="n">
        <v>19</v>
      </c>
      <c r="AB6" s="9" t="s">
        <v>110</v>
      </c>
      <c r="AC6" s="9" t="s">
        <v>111</v>
      </c>
      <c r="AD6" s="9" t="s">
        <v>105</v>
      </c>
      <c r="AE6" s="9" t="s">
        <v>106</v>
      </c>
      <c r="AF6" s="9" t="s">
        <v>112</v>
      </c>
      <c r="AG6" s="9" t="inlineStr">
        <is>
          <t xml:space="preserve">Unknown</t>
        </is>
      </c>
      <c r="AH6" s="9" t="inlineStr">
        <is>
          <t xml:space="preserve"/>
        </is>
      </c>
    </row>
    <row r="7" customFormat="false" ht="15" hidden="false" customHeight="false" outlineLevel="0" collapsed="false">
      <c r="A7" s="8"/>
      <c r="B7" s="8" t="str">
        <f aca="false">IF(D7="","",Y7)</f>
        <v/>
      </c>
      <c r="C7" s="8" t="str">
        <f aca="false">IF(D7="","",Y7&amp;"_"&amp;D7)</f>
        <v/>
      </c>
      <c r="D7" s="9"/>
      <c r="E7" s="8" t="str">
        <f aca="false">IF(D7="","",TRIM(D7&amp;" "&amp;Y7&amp;" "&amp;Z7&amp;" "&amp;IF(AA7="","",TEXT(AA7,"0.00")&amp;"g")&amp;" "&amp;AB7&amp;" "&amp;AF7&amp;IF(AC7="",""," Sz# "&amp;AC7)&amp;IF(AD7="Preloved"," [Preloved]","")))</f>
        <v/>
      </c>
      <c r="F7" s="8"/>
      <c r="G7" s="10"/>
      <c r="H7" s="10"/>
      <c r="I7" s="8" t="str">
        <f aca="false">IF(D7="","",1)</f>
        <v/>
      </c>
      <c r="J7" s="8"/>
      <c r="K7" s="8" t="str">
        <f aca="false">IF(AA7="","",AA7/1000)</f>
        <v/>
      </c>
      <c r="L7" s="9"/>
      <c r="M7" s="9"/>
      <c r="N7" s="8"/>
      <c r="O7" s="9"/>
      <c r="P7" s="9"/>
      <c r="Q7" s="9"/>
      <c r="R7" s="9"/>
      <c r="S7" s="9"/>
      <c r="T7" s="9"/>
      <c r="U7" s="9"/>
      <c r="V7" s="9"/>
      <c r="W7" s="9"/>
      <c r="X7" s="9"/>
      <c r="Y7" s="9"/>
      <c r="Z7" s="9"/>
      <c r="AA7" s="9"/>
      <c r="AB7" s="9"/>
      <c r="AC7" s="9"/>
      <c r="AD7" s="9"/>
      <c r="AE7" s="9"/>
      <c r="AF7" s="9"/>
    </row>
    <row r="8" customFormat="false" ht="15" hidden="false" customHeight="false" outlineLevel="0" collapsed="false">
      <c r="A8" s="8"/>
      <c r="B8" s="8" t="str">
        <f aca="false">IF(D8="","",Y8)</f>
        <v/>
      </c>
      <c r="C8" s="8" t="str">
        <f aca="false">IF(D8="","",Y8&amp;"_"&amp;D8)</f>
        <v/>
      </c>
      <c r="D8" s="9"/>
      <c r="E8" s="8" t="str">
        <f aca="false">IF(D8="","",TRIM(D8&amp;" "&amp;Y8&amp;" "&amp;Z8&amp;" "&amp;IF(AA8="","",TEXT(AA8,"0.00")&amp;"g")&amp;" "&amp;AB8&amp;" "&amp;AF8&amp;IF(AC8="",""," Sz# "&amp;AC8)&amp;IF(AD8="Preloved"," [Preloved]","")))</f>
        <v/>
      </c>
      <c r="F8" s="8"/>
      <c r="G8" s="10"/>
      <c r="H8" s="10"/>
      <c r="I8" s="8" t="str">
        <f aca="false">IF(D8="","",1)</f>
        <v/>
      </c>
      <c r="J8" s="8"/>
      <c r="K8" s="8" t="str">
        <f aca="false">IF(AA8="","",AA8/1000)</f>
        <v/>
      </c>
      <c r="L8" s="9"/>
      <c r="M8" s="9"/>
      <c r="N8" s="8"/>
      <c r="O8" s="9"/>
      <c r="P8" s="9"/>
      <c r="Q8" s="9"/>
      <c r="R8" s="9"/>
      <c r="S8" s="9"/>
      <c r="T8" s="9"/>
      <c r="U8" s="9"/>
      <c r="V8" s="9"/>
      <c r="W8" s="9"/>
      <c r="X8" s="9"/>
      <c r="Y8" s="9"/>
      <c r="Z8" s="9"/>
      <c r="AA8" s="9"/>
      <c r="AB8" s="9"/>
      <c r="AC8" s="9"/>
      <c r="AD8" s="9"/>
      <c r="AE8" s="9"/>
      <c r="AF8" s="9"/>
    </row>
    <row r="9" customFormat="false" ht="15" hidden="false" customHeight="false" outlineLevel="0" collapsed="false">
      <c r="A9" s="8"/>
      <c r="B9" s="8" t="str">
        <f aca="false">IF(D9="","",Y9)</f>
        <v/>
      </c>
      <c r="C9" s="8" t="str">
        <f aca="false">IF(D9="","",Y9&amp;"_"&amp;D9)</f>
        <v/>
      </c>
      <c r="D9" s="9"/>
      <c r="E9" s="8" t="str">
        <f aca="false">IF(D9="","",TRIM(D9&amp;" "&amp;Y9&amp;" "&amp;Z9&amp;" "&amp;IF(AA9="","",TEXT(AA9,"0.00")&amp;"g")&amp;" "&amp;AB9&amp;" "&amp;AF9&amp;IF(AC9="",""," Sz# "&amp;AC9)&amp;IF(AD9="Preloved"," [Preloved]","")))</f>
        <v/>
      </c>
      <c r="F9" s="8"/>
      <c r="G9" s="10"/>
      <c r="H9" s="10"/>
      <c r="I9" s="8" t="str">
        <f aca="false">IF(D9="","",1)</f>
        <v/>
      </c>
      <c r="J9" s="8"/>
      <c r="K9" s="8" t="str">
        <f aca="false">IF(AA9="","",AA9/1000)</f>
        <v/>
      </c>
      <c r="L9" s="9"/>
      <c r="M9" s="9"/>
      <c r="N9" s="8"/>
      <c r="O9" s="9"/>
      <c r="P9" s="9"/>
      <c r="Q9" s="9"/>
      <c r="R9" s="9"/>
      <c r="S9" s="9"/>
      <c r="T9" s="9"/>
      <c r="U9" s="9"/>
      <c r="V9" s="9"/>
      <c r="W9" s="9"/>
      <c r="X9" s="9"/>
      <c r="Y9" s="9"/>
      <c r="Z9" s="9"/>
      <c r="AA9" s="9"/>
      <c r="AB9" s="9"/>
      <c r="AC9" s="9"/>
      <c r="AD9" s="9"/>
      <c r="AE9" s="9"/>
      <c r="AF9" s="9"/>
    </row>
    <row r="10" customFormat="false" ht="15" hidden="false" customHeight="false" outlineLevel="0" collapsed="false">
      <c r="A10" s="8"/>
      <c r="B10" s="8" t="str">
        <f aca="false">IF(D10="","",Y10)</f>
        <v/>
      </c>
      <c r="C10" s="8" t="str">
        <f aca="false">IF(D10="","",Y10&amp;"_"&amp;D10)</f>
        <v/>
      </c>
      <c r="D10" s="9"/>
      <c r="E10" s="8" t="str">
        <f aca="false">IF(D10="","",TRIM(D10&amp;" "&amp;Y10&amp;" "&amp;Z10&amp;" "&amp;IF(AA10="","",TEXT(AA10,"0.00")&amp;"g")&amp;" "&amp;AB10&amp;" "&amp;AF10&amp;IF(AC10="",""," Sz# "&amp;AC10)&amp;IF(AD10="Preloved"," [Preloved]","")))</f>
        <v/>
      </c>
      <c r="F10" s="8"/>
      <c r="G10" s="10"/>
      <c r="H10" s="10"/>
      <c r="I10" s="8" t="str">
        <f aca="false">IF(D10="","",1)</f>
        <v/>
      </c>
      <c r="J10" s="8"/>
      <c r="K10" s="8" t="str">
        <f aca="false">IF(AA10="","",AA10/1000)</f>
        <v/>
      </c>
      <c r="L10" s="9"/>
      <c r="M10" s="9"/>
      <c r="N10" s="8"/>
      <c r="O10" s="9"/>
      <c r="P10" s="9"/>
      <c r="Q10" s="9"/>
      <c r="R10" s="9"/>
      <c r="S10" s="9"/>
      <c r="T10" s="9"/>
      <c r="U10" s="9"/>
      <c r="V10" s="9"/>
      <c r="W10" s="9"/>
      <c r="X10" s="9"/>
      <c r="Y10" s="9"/>
      <c r="Z10" s="9"/>
      <c r="AA10" s="9"/>
      <c r="AB10" s="9"/>
      <c r="AC10" s="9"/>
      <c r="AD10" s="9"/>
      <c r="AE10" s="9"/>
      <c r="AF10" s="9"/>
    </row>
    <row r="11" customFormat="false" ht="15" hidden="false" customHeight="false" outlineLevel="0" collapsed="false">
      <c r="A11" s="8"/>
      <c r="B11" s="8" t="str">
        <f aca="false">IF(D11="","",Y11)</f>
        <v/>
      </c>
      <c r="C11" s="8" t="str">
        <f aca="false">IF(D11="","",Y11&amp;"_"&amp;D11)</f>
        <v/>
      </c>
      <c r="D11" s="9"/>
      <c r="E11" s="8" t="str">
        <f aca="false">IF(D11="","",TRIM(D11&amp;" "&amp;Y11&amp;" "&amp;Z11&amp;" "&amp;IF(AA11="","",TEXT(AA11,"0.00")&amp;"g")&amp;" "&amp;AB11&amp;" "&amp;AF11&amp;IF(AC11="",""," Sz# "&amp;AC11)&amp;IF(AD11="Preloved"," [Preloved]","")))</f>
        <v/>
      </c>
      <c r="F11" s="8"/>
      <c r="G11" s="10"/>
      <c r="H11" s="10"/>
      <c r="I11" s="8" t="str">
        <f aca="false">IF(D11="","",1)</f>
        <v/>
      </c>
      <c r="J11" s="8"/>
      <c r="K11" s="8" t="str">
        <f aca="false">IF(AA11="","",AA11/1000)</f>
        <v/>
      </c>
      <c r="L11" s="9"/>
      <c r="M11" s="9"/>
      <c r="N11" s="8"/>
      <c r="O11" s="9"/>
      <c r="P11" s="9"/>
      <c r="Q11" s="9"/>
      <c r="R11" s="9"/>
      <c r="S11" s="9"/>
      <c r="T11" s="9"/>
      <c r="U11" s="9"/>
      <c r="V11" s="9"/>
      <c r="W11" s="9"/>
      <c r="X11" s="9"/>
      <c r="Y11" s="9"/>
      <c r="Z11" s="9"/>
      <c r="AA11" s="9"/>
      <c r="AB11" s="9"/>
      <c r="AC11" s="9"/>
      <c r="AD11" s="9"/>
      <c r="AE11" s="9"/>
      <c r="AF11" s="9"/>
    </row>
    <row r="12" customFormat="false" ht="15" hidden="false" customHeight="false" outlineLevel="0" collapsed="false">
      <c r="A12" s="8"/>
      <c r="B12" s="8" t="str">
        <f aca="false">IF(D12="","",Y12)</f>
        <v/>
      </c>
      <c r="C12" s="8" t="str">
        <f aca="false">IF(D12="","",Y12&amp;"_"&amp;D12)</f>
        <v/>
      </c>
      <c r="D12" s="9"/>
      <c r="E12" s="8" t="str">
        <f aca="false">IF(D12="","",TRIM(D12&amp;" "&amp;Y12&amp;" "&amp;Z12&amp;" "&amp;IF(AA12="","",TEXT(AA12,"0.00")&amp;"g")&amp;" "&amp;AB12&amp;" "&amp;AF12&amp;IF(AC12="",""," Sz# "&amp;AC12)&amp;IF(AD12="Preloved"," [Preloved]","")))</f>
        <v/>
      </c>
      <c r="F12" s="8"/>
      <c r="G12" s="10"/>
      <c r="H12" s="10"/>
      <c r="I12" s="8" t="str">
        <f aca="false">IF(D12="","",1)</f>
        <v/>
      </c>
      <c r="J12" s="8"/>
      <c r="K12" s="8" t="str">
        <f aca="false">IF(AA12="","",AA12/1000)</f>
        <v/>
      </c>
      <c r="L12" s="9"/>
      <c r="M12" s="9"/>
      <c r="N12" s="8"/>
      <c r="O12" s="9"/>
      <c r="P12" s="9"/>
      <c r="Q12" s="9"/>
      <c r="R12" s="9"/>
      <c r="S12" s="9"/>
      <c r="T12" s="9"/>
      <c r="U12" s="9"/>
      <c r="V12" s="9"/>
      <c r="W12" s="9"/>
      <c r="X12" s="9"/>
      <c r="Y12" s="9"/>
      <c r="Z12" s="9"/>
      <c r="AA12" s="9"/>
      <c r="AB12" s="9"/>
      <c r="AC12" s="9"/>
      <c r="AD12" s="9"/>
      <c r="AE12" s="9"/>
      <c r="AF12" s="9"/>
    </row>
    <row r="13" customFormat="false" ht="15" hidden="false" customHeight="false" outlineLevel="0" collapsed="false">
      <c r="A13" s="8"/>
      <c r="B13" s="8" t="str">
        <f aca="false">IF(D13="","",Y13)</f>
        <v/>
      </c>
      <c r="C13" s="8" t="str">
        <f aca="false">IF(D13="","",Y13&amp;"_"&amp;D13)</f>
        <v/>
      </c>
      <c r="D13" s="9"/>
      <c r="E13" s="8" t="str">
        <f aca="false">IF(D13="","",TRIM(D13&amp;" "&amp;Y13&amp;" "&amp;Z13&amp;" "&amp;IF(AA13="","",TEXT(AA13,"0.00")&amp;"g")&amp;" "&amp;AB13&amp;" "&amp;AF13&amp;IF(AC13="",""," Sz# "&amp;AC13)&amp;IF(AD13="Preloved"," [Preloved]","")))</f>
        <v/>
      </c>
      <c r="F13" s="8"/>
      <c r="G13" s="10"/>
      <c r="H13" s="10"/>
      <c r="I13" s="8" t="str">
        <f aca="false">IF(D13="","",1)</f>
        <v/>
      </c>
      <c r="J13" s="8"/>
      <c r="K13" s="8" t="str">
        <f aca="false">IF(AA13="","",AA13/1000)</f>
        <v/>
      </c>
      <c r="L13" s="9"/>
      <c r="M13" s="9"/>
      <c r="N13" s="8"/>
      <c r="O13" s="9"/>
      <c r="P13" s="9"/>
      <c r="Q13" s="9"/>
      <c r="R13" s="9"/>
      <c r="S13" s="9"/>
      <c r="T13" s="9"/>
      <c r="U13" s="9"/>
      <c r="V13" s="9"/>
      <c r="W13" s="9"/>
      <c r="X13" s="9"/>
      <c r="Y13" s="9"/>
      <c r="Z13" s="9"/>
      <c r="AA13" s="9"/>
      <c r="AB13" s="9"/>
      <c r="AC13" s="9"/>
      <c r="AD13" s="9"/>
      <c r="AE13" s="9"/>
      <c r="AF13" s="9"/>
    </row>
    <row r="14" customFormat="false" ht="15" hidden="false" customHeight="false" outlineLevel="0" collapsed="false">
      <c r="A14" s="8"/>
      <c r="B14" s="8" t="str">
        <f aca="false">IF(D14="","",Y14)</f>
        <v/>
      </c>
      <c r="C14" s="8" t="str">
        <f aca="false">IF(D14="","",Y14&amp;"_"&amp;D14)</f>
        <v/>
      </c>
      <c r="D14" s="9"/>
      <c r="E14" s="8" t="str">
        <f aca="false">IF(D14="","",TRIM(D14&amp;" "&amp;Y14&amp;" "&amp;Z14&amp;" "&amp;IF(AA14="","",TEXT(AA14,"0.00")&amp;"g")&amp;" "&amp;AB14&amp;" "&amp;AF14&amp;IF(AC14="",""," Sz# "&amp;AC14)&amp;IF(AD14="Preloved"," [Preloved]","")))</f>
        <v/>
      </c>
      <c r="F14" s="8"/>
      <c r="G14" s="10"/>
      <c r="H14" s="10"/>
      <c r="I14" s="8" t="str">
        <f aca="false">IF(D14="","",1)</f>
        <v/>
      </c>
      <c r="J14" s="8"/>
      <c r="K14" s="8" t="str">
        <f aca="false">IF(AA14="","",AA14/1000)</f>
        <v/>
      </c>
      <c r="L14" s="9"/>
      <c r="M14" s="9"/>
      <c r="N14" s="8"/>
      <c r="O14" s="9"/>
      <c r="P14" s="9"/>
      <c r="Q14" s="9"/>
      <c r="R14" s="9"/>
      <c r="S14" s="9"/>
      <c r="T14" s="9"/>
      <c r="U14" s="9"/>
      <c r="V14" s="9"/>
      <c r="W14" s="9"/>
      <c r="X14" s="9"/>
      <c r="Y14" s="9"/>
      <c r="Z14" s="9"/>
      <c r="AA14" s="9"/>
      <c r="AB14" s="9"/>
      <c r="AC14" s="9"/>
      <c r="AD14" s="9"/>
      <c r="AE14" s="9"/>
      <c r="AF14" s="9"/>
    </row>
    <row r="15" customFormat="false" ht="15" hidden="false" customHeight="false" outlineLevel="0" collapsed="false">
      <c r="A15" s="8"/>
      <c r="B15" s="8" t="str">
        <f aca="false">IF(D15="","",Y15)</f>
        <v/>
      </c>
      <c r="C15" s="8" t="str">
        <f aca="false">IF(D15="","",Y15&amp;"_"&amp;D15)</f>
        <v/>
      </c>
      <c r="D15" s="9"/>
      <c r="E15" s="8" t="str">
        <f aca="false">IF(D15="","",TRIM(D15&amp;" "&amp;Y15&amp;" "&amp;Z15&amp;" "&amp;IF(AA15="","",TEXT(AA15,"0.00")&amp;"g")&amp;" "&amp;AB15&amp;" "&amp;AF15&amp;IF(AC15="",""," Sz# "&amp;AC15)&amp;IF(AD15="Preloved"," [Preloved]","")))</f>
        <v/>
      </c>
      <c r="F15" s="8"/>
      <c r="G15" s="10"/>
      <c r="H15" s="10"/>
      <c r="I15" s="8" t="str">
        <f aca="false">IF(D15="","",1)</f>
        <v/>
      </c>
      <c r="J15" s="8"/>
      <c r="K15" s="8" t="str">
        <f aca="false">IF(AA15="","",AA15/1000)</f>
        <v/>
      </c>
      <c r="L15" s="9"/>
      <c r="M15" s="9"/>
      <c r="N15" s="8"/>
      <c r="O15" s="9"/>
      <c r="P15" s="9"/>
      <c r="Q15" s="9"/>
      <c r="R15" s="9"/>
      <c r="S15" s="9"/>
      <c r="T15" s="9"/>
      <c r="U15" s="9"/>
      <c r="V15" s="9"/>
      <c r="W15" s="9"/>
      <c r="X15" s="9"/>
      <c r="Y15" s="9"/>
      <c r="Z15" s="9"/>
      <c r="AA15" s="9"/>
      <c r="AB15" s="9"/>
      <c r="AC15" s="9"/>
      <c r="AD15" s="9"/>
      <c r="AE15" s="9"/>
      <c r="AF15" s="9"/>
    </row>
    <row r="16" customFormat="false" ht="15" hidden="false" customHeight="false" outlineLevel="0" collapsed="false">
      <c r="A16" s="8"/>
      <c r="B16" s="8" t="str">
        <f aca="false">IF(D16="","",Y16)</f>
        <v/>
      </c>
      <c r="C16" s="8" t="str">
        <f aca="false">IF(D16="","",Y16&amp;"_"&amp;D16)</f>
        <v/>
      </c>
      <c r="D16" s="9"/>
      <c r="E16" s="8" t="str">
        <f aca="false">IF(D16="","",TRIM(D16&amp;" "&amp;Y16&amp;" "&amp;Z16&amp;" "&amp;IF(AA16="","",TEXT(AA16,"0.00")&amp;"g")&amp;" "&amp;AB16&amp;" "&amp;AF16&amp;IF(AC16="",""," Sz# "&amp;AC16)&amp;IF(AD16="Preloved"," [Preloved]","")))</f>
        <v/>
      </c>
      <c r="F16" s="8"/>
      <c r="G16" s="10"/>
      <c r="H16" s="10"/>
      <c r="I16" s="8" t="str">
        <f aca="false">IF(D16="","",1)</f>
        <v/>
      </c>
      <c r="J16" s="8"/>
      <c r="K16" s="8" t="str">
        <f aca="false">IF(AA16="","",AA16/1000)</f>
        <v/>
      </c>
      <c r="L16" s="9"/>
      <c r="M16" s="9"/>
      <c r="N16" s="8"/>
      <c r="O16" s="9"/>
      <c r="P16" s="9"/>
      <c r="Q16" s="9"/>
      <c r="R16" s="9"/>
      <c r="S16" s="9"/>
      <c r="T16" s="9"/>
      <c r="U16" s="9"/>
      <c r="V16" s="9"/>
      <c r="W16" s="9"/>
      <c r="X16" s="9"/>
      <c r="Y16" s="9"/>
      <c r="Z16" s="9"/>
      <c r="AA16" s="9"/>
      <c r="AB16" s="9"/>
      <c r="AC16" s="9"/>
      <c r="AD16" s="9"/>
      <c r="AE16" s="9"/>
      <c r="AF16" s="9"/>
    </row>
    <row r="17" customFormat="false" ht="15" hidden="false" customHeight="false" outlineLevel="0" collapsed="false">
      <c r="A17" s="8"/>
      <c r="B17" s="8" t="str">
        <f aca="false">IF(D17="","",Y17)</f>
        <v/>
      </c>
      <c r="C17" s="8" t="str">
        <f aca="false">IF(D17="","",Y17&amp;"_"&amp;D17)</f>
        <v/>
      </c>
      <c r="D17" s="9"/>
      <c r="E17" s="8" t="str">
        <f aca="false">IF(D17="","",TRIM(D17&amp;" "&amp;Y17&amp;" "&amp;Z17&amp;" "&amp;IF(AA17="","",TEXT(AA17,"0.00")&amp;"g")&amp;" "&amp;AB17&amp;" "&amp;AF17&amp;IF(AC17="",""," Sz# "&amp;AC17)&amp;IF(AD17="Preloved"," [Preloved]","")))</f>
        <v/>
      </c>
      <c r="F17" s="8"/>
      <c r="G17" s="10"/>
      <c r="H17" s="10"/>
      <c r="I17" s="8" t="str">
        <f aca="false">IF(D17="","",1)</f>
        <v/>
      </c>
      <c r="J17" s="8"/>
      <c r="K17" s="8" t="str">
        <f aca="false">IF(AA17="","",AA17/1000)</f>
        <v/>
      </c>
      <c r="L17" s="9"/>
      <c r="M17" s="9"/>
      <c r="N17" s="8"/>
      <c r="O17" s="9"/>
      <c r="P17" s="9"/>
      <c r="Q17" s="9"/>
      <c r="R17" s="9"/>
      <c r="S17" s="9"/>
      <c r="T17" s="9"/>
      <c r="U17" s="9"/>
      <c r="V17" s="9"/>
      <c r="W17" s="9"/>
      <c r="X17" s="9"/>
      <c r="Y17" s="9"/>
      <c r="Z17" s="9"/>
      <c r="AA17" s="9"/>
      <c r="AB17" s="9"/>
      <c r="AC17" s="9"/>
      <c r="AD17" s="9"/>
      <c r="AE17" s="9"/>
      <c r="AF17" s="9"/>
    </row>
    <row r="18" customFormat="false" ht="15" hidden="false" customHeight="false" outlineLevel="0" collapsed="false">
      <c r="A18" s="8"/>
      <c r="B18" s="8" t="str">
        <f aca="false">IF(D18="","",Y18)</f>
        <v/>
      </c>
      <c r="C18" s="8" t="str">
        <f aca="false">IF(D18="","",Y18&amp;"_"&amp;D18)</f>
        <v/>
      </c>
      <c r="D18" s="9"/>
      <c r="E18" s="8" t="str">
        <f aca="false">IF(D18="","",TRIM(D18&amp;" "&amp;Y18&amp;" "&amp;Z18&amp;" "&amp;IF(AA18="","",TEXT(AA18,"0.00")&amp;"g")&amp;" "&amp;AB18&amp;" "&amp;AF18&amp;IF(AC18="",""," Sz# "&amp;AC18)&amp;IF(AD18="Preloved"," [Preloved]","")))</f>
        <v/>
      </c>
      <c r="F18" s="8"/>
      <c r="G18" s="10"/>
      <c r="H18" s="10"/>
      <c r="I18" s="8" t="str">
        <f aca="false">IF(D18="","",1)</f>
        <v/>
      </c>
      <c r="J18" s="8"/>
      <c r="K18" s="8" t="str">
        <f aca="false">IF(AA18="","",AA18/1000)</f>
        <v/>
      </c>
      <c r="L18" s="9"/>
      <c r="M18" s="9"/>
      <c r="N18" s="8"/>
      <c r="O18" s="9"/>
      <c r="P18" s="9"/>
      <c r="Q18" s="9"/>
      <c r="R18" s="9"/>
      <c r="S18" s="9"/>
      <c r="T18" s="9"/>
      <c r="U18" s="9"/>
      <c r="V18" s="9"/>
      <c r="W18" s="9"/>
      <c r="X18" s="9"/>
      <c r="Y18" s="9"/>
      <c r="Z18" s="9"/>
      <c r="AA18" s="9"/>
      <c r="AB18" s="9"/>
      <c r="AC18" s="9"/>
      <c r="AD18" s="9"/>
      <c r="AE18" s="9"/>
      <c r="AF18" s="9"/>
    </row>
    <row r="19" customFormat="false" ht="15" hidden="false" customHeight="false" outlineLevel="0" collapsed="false">
      <c r="A19" s="8"/>
      <c r="B19" s="8" t="str">
        <f aca="false">IF(D19="","",Y19)</f>
        <v/>
      </c>
      <c r="C19" s="8" t="str">
        <f aca="false">IF(D19="","",Y19&amp;"_"&amp;D19)</f>
        <v/>
      </c>
      <c r="D19" s="9"/>
      <c r="E19" s="8" t="str">
        <f aca="false">IF(D19="","",TRIM(D19&amp;" "&amp;Y19&amp;" "&amp;Z19&amp;" "&amp;IF(AA19="","",TEXT(AA19,"0.00")&amp;"g")&amp;" "&amp;AB19&amp;" "&amp;AF19&amp;IF(AC19="",""," Sz# "&amp;AC19)&amp;IF(AD19="Preloved"," [Preloved]","")))</f>
        <v/>
      </c>
      <c r="F19" s="8"/>
      <c r="G19" s="10"/>
      <c r="H19" s="10"/>
      <c r="I19" s="8" t="str">
        <f aca="false">IF(D19="","",1)</f>
        <v/>
      </c>
      <c r="J19" s="8"/>
      <c r="K19" s="8" t="str">
        <f aca="false">IF(AA19="","",AA19/1000)</f>
        <v/>
      </c>
      <c r="L19" s="9"/>
      <c r="M19" s="9"/>
      <c r="N19" s="8"/>
      <c r="O19" s="9"/>
      <c r="P19" s="9"/>
      <c r="Q19" s="9"/>
      <c r="R19" s="9"/>
      <c r="S19" s="9"/>
      <c r="T19" s="9"/>
      <c r="U19" s="9"/>
      <c r="V19" s="9"/>
      <c r="W19" s="9"/>
      <c r="X19" s="9"/>
      <c r="Y19" s="9"/>
      <c r="Z19" s="9"/>
      <c r="AA19" s="9"/>
      <c r="AB19" s="9"/>
      <c r="AC19" s="9"/>
      <c r="AD19" s="9"/>
      <c r="AE19" s="9"/>
      <c r="AF19" s="9"/>
    </row>
    <row r="20" customFormat="false" ht="15" hidden="false" customHeight="false" outlineLevel="0" collapsed="false">
      <c r="A20" s="8"/>
      <c r="B20" s="8" t="str">
        <f aca="false">IF(D20="","",Y20)</f>
        <v/>
      </c>
      <c r="C20" s="8" t="str">
        <f aca="false">IF(D20="","",Y20&amp;"_"&amp;D20)</f>
        <v/>
      </c>
      <c r="D20" s="9"/>
      <c r="E20" s="8" t="str">
        <f aca="false">IF(D20="","",TRIM(D20&amp;" "&amp;Y20&amp;" "&amp;Z20&amp;" "&amp;IF(AA20="","",TEXT(AA20,"0.00")&amp;"g")&amp;" "&amp;AB20&amp;" "&amp;AF20&amp;IF(AC20="",""," Sz# "&amp;AC20)&amp;IF(AD20="Preloved"," [Preloved]","")))</f>
        <v/>
      </c>
      <c r="F20" s="8"/>
      <c r="G20" s="10"/>
      <c r="H20" s="10"/>
      <c r="I20" s="8" t="str">
        <f aca="false">IF(D20="","",1)</f>
        <v/>
      </c>
      <c r="J20" s="8"/>
      <c r="K20" s="8" t="str">
        <f aca="false">IF(AA20="","",AA20/1000)</f>
        <v/>
      </c>
      <c r="L20" s="9"/>
      <c r="M20" s="9"/>
      <c r="N20" s="8"/>
      <c r="O20" s="9"/>
      <c r="P20" s="9"/>
      <c r="Q20" s="9"/>
      <c r="R20" s="9"/>
      <c r="S20" s="9"/>
      <c r="T20" s="9"/>
      <c r="U20" s="9"/>
      <c r="V20" s="9"/>
      <c r="W20" s="9"/>
      <c r="X20" s="9"/>
      <c r="Y20" s="9"/>
      <c r="Z20" s="9"/>
      <c r="AA20" s="9"/>
      <c r="AB20" s="9"/>
      <c r="AC20" s="9"/>
      <c r="AD20" s="9"/>
      <c r="AE20" s="9"/>
      <c r="AF20" s="9"/>
    </row>
    <row r="21" customFormat="false" ht="15" hidden="false" customHeight="false" outlineLevel="0" collapsed="false">
      <c r="A21" s="8"/>
      <c r="B21" s="8" t="str">
        <f aca="false">IF(D21="","",Y21)</f>
        <v/>
      </c>
      <c r="C21" s="8" t="str">
        <f aca="false">IF(D21="","",Y21&amp;"_"&amp;D21)</f>
        <v/>
      </c>
      <c r="D21" s="9"/>
      <c r="E21" s="8" t="str">
        <f aca="false">IF(D21="","",TRIM(D21&amp;" "&amp;Y21&amp;" "&amp;Z21&amp;" "&amp;IF(AA21="","",TEXT(AA21,"0.00")&amp;"g")&amp;" "&amp;AB21&amp;" "&amp;AF21&amp;IF(AC21="",""," Sz# "&amp;AC21)&amp;IF(AD21="Preloved"," [Preloved]","")))</f>
        <v/>
      </c>
      <c r="F21" s="8"/>
      <c r="G21" s="10"/>
      <c r="H21" s="10"/>
      <c r="I21" s="8" t="str">
        <f aca="false">IF(D21="","",1)</f>
        <v/>
      </c>
      <c r="J21" s="8"/>
      <c r="K21" s="8" t="str">
        <f aca="false">IF(AA21="","",AA21/1000)</f>
        <v/>
      </c>
      <c r="L21" s="9"/>
      <c r="M21" s="9"/>
      <c r="N21" s="8"/>
      <c r="O21" s="9"/>
      <c r="P21" s="9"/>
      <c r="Q21" s="9"/>
      <c r="R21" s="9"/>
      <c r="S21" s="9"/>
      <c r="T21" s="9"/>
      <c r="U21" s="9"/>
      <c r="V21" s="9"/>
      <c r="W21" s="9"/>
      <c r="X21" s="9"/>
      <c r="Y21" s="9"/>
      <c r="Z21" s="9"/>
      <c r="AA21" s="9"/>
      <c r="AB21" s="9"/>
      <c r="AC21" s="9"/>
      <c r="AD21" s="9"/>
      <c r="AE21" s="9"/>
      <c r="AF21" s="9"/>
    </row>
    <row r="22" customFormat="false" ht="15" hidden="false" customHeight="false" outlineLevel="0" collapsed="false">
      <c r="A22" s="8"/>
      <c r="B22" s="8" t="str">
        <f aca="false">IF(D22="","",Y22)</f>
        <v/>
      </c>
      <c r="C22" s="8" t="str">
        <f aca="false">IF(D22="","",Y22&amp;"_"&amp;D22)</f>
        <v/>
      </c>
      <c r="D22" s="9"/>
      <c r="E22" s="8" t="str">
        <f aca="false">IF(D22="","",TRIM(D22&amp;" "&amp;Y22&amp;" "&amp;Z22&amp;" "&amp;IF(AA22="","",TEXT(AA22,"0.00")&amp;"g")&amp;" "&amp;AB22&amp;" "&amp;AF22&amp;IF(AC22="",""," Sz# "&amp;AC22)&amp;IF(AD22="Preloved"," [Preloved]","")))</f>
        <v/>
      </c>
      <c r="F22" s="8"/>
      <c r="G22" s="10"/>
      <c r="H22" s="10"/>
      <c r="I22" s="8" t="str">
        <f aca="false">IF(D22="","",1)</f>
        <v/>
      </c>
      <c r="J22" s="8"/>
      <c r="K22" s="8" t="str">
        <f aca="false">IF(AA22="","",AA22/1000)</f>
        <v/>
      </c>
      <c r="L22" s="9"/>
      <c r="M22" s="9"/>
      <c r="N22" s="8"/>
      <c r="O22" s="9"/>
      <c r="P22" s="9"/>
      <c r="Q22" s="9"/>
      <c r="R22" s="9"/>
      <c r="S22" s="9"/>
      <c r="T22" s="9"/>
      <c r="U22" s="9"/>
      <c r="V22" s="9"/>
      <c r="W22" s="9"/>
      <c r="X22" s="9"/>
      <c r="Y22" s="9"/>
      <c r="Z22" s="9"/>
      <c r="AA22" s="9"/>
      <c r="AB22" s="9"/>
      <c r="AC22" s="9"/>
      <c r="AD22" s="9"/>
      <c r="AE22" s="9"/>
      <c r="AF22" s="9"/>
    </row>
    <row r="23" customFormat="false" ht="15" hidden="false" customHeight="false" outlineLevel="0" collapsed="false">
      <c r="A23" s="8"/>
      <c r="B23" s="8" t="str">
        <f aca="false">IF(D23="","",Y23)</f>
        <v/>
      </c>
      <c r="C23" s="8" t="str">
        <f aca="false">IF(D23="","",Y23&amp;"_"&amp;D23)</f>
        <v/>
      </c>
      <c r="D23" s="9"/>
      <c r="E23" s="8" t="str">
        <f aca="false">IF(D23="","",TRIM(D23&amp;" "&amp;Y23&amp;" "&amp;Z23&amp;" "&amp;IF(AA23="","",TEXT(AA23,"0.00")&amp;"g")&amp;" "&amp;AB23&amp;" "&amp;AF23&amp;IF(AC23="",""," Sz# "&amp;AC23)&amp;IF(AD23="Preloved"," [Preloved]","")))</f>
        <v/>
      </c>
      <c r="F23" s="8"/>
      <c r="G23" s="10"/>
      <c r="H23" s="10"/>
      <c r="I23" s="8" t="str">
        <f aca="false">IF(D23="","",1)</f>
        <v/>
      </c>
      <c r="J23" s="8"/>
      <c r="K23" s="8" t="str">
        <f aca="false">IF(AA23="","",AA23/1000)</f>
        <v/>
      </c>
      <c r="L23" s="9"/>
      <c r="M23" s="9"/>
      <c r="N23" s="8"/>
      <c r="O23" s="9"/>
      <c r="P23" s="9"/>
      <c r="Q23" s="9"/>
      <c r="R23" s="9"/>
      <c r="S23" s="9"/>
      <c r="T23" s="9"/>
      <c r="U23" s="9"/>
      <c r="V23" s="9"/>
      <c r="W23" s="9"/>
      <c r="X23" s="9"/>
      <c r="Y23" s="9"/>
      <c r="Z23" s="9"/>
      <c r="AA23" s="9"/>
      <c r="AB23" s="9"/>
      <c r="AC23" s="9"/>
      <c r="AD23" s="9"/>
      <c r="AE23" s="9"/>
      <c r="AF23" s="9"/>
    </row>
    <row r="24" customFormat="false" ht="15" hidden="false" customHeight="false" outlineLevel="0" collapsed="false">
      <c r="A24" s="8"/>
      <c r="B24" s="8" t="str">
        <f aca="false">IF(D24="","",Y24)</f>
        <v/>
      </c>
      <c r="C24" s="8" t="str">
        <f aca="false">IF(D24="","",Y24&amp;"_"&amp;D24)</f>
        <v/>
      </c>
      <c r="D24" s="9"/>
      <c r="E24" s="8" t="str">
        <f aca="false">IF(D24="","",TRIM(D24&amp;" "&amp;Y24&amp;" "&amp;Z24&amp;" "&amp;IF(AA24="","",TEXT(AA24,"0.00")&amp;"g")&amp;" "&amp;AB24&amp;" "&amp;AF24&amp;IF(AC24="",""," Sz# "&amp;AC24)&amp;IF(AD24="Preloved"," [Preloved]","")))</f>
        <v/>
      </c>
      <c r="F24" s="8"/>
      <c r="G24" s="10"/>
      <c r="H24" s="10"/>
      <c r="I24" s="8" t="str">
        <f aca="false">IF(D24="","",1)</f>
        <v/>
      </c>
      <c r="J24" s="8"/>
      <c r="K24" s="8" t="str">
        <f aca="false">IF(AA24="","",AA24/1000)</f>
        <v/>
      </c>
      <c r="L24" s="9"/>
      <c r="M24" s="9"/>
      <c r="N24" s="8"/>
      <c r="O24" s="9"/>
      <c r="P24" s="9"/>
      <c r="Q24" s="9"/>
      <c r="R24" s="9"/>
      <c r="S24" s="9"/>
      <c r="T24" s="9"/>
      <c r="U24" s="9"/>
      <c r="V24" s="9"/>
      <c r="W24" s="9"/>
      <c r="X24" s="9"/>
      <c r="Y24" s="9"/>
      <c r="Z24" s="9"/>
      <c r="AA24" s="9"/>
      <c r="AB24" s="9"/>
      <c r="AC24" s="9"/>
      <c r="AD24" s="9"/>
      <c r="AE24" s="9"/>
      <c r="AF24" s="9"/>
    </row>
    <row r="25" customFormat="false" ht="15" hidden="false" customHeight="false" outlineLevel="0" collapsed="false">
      <c r="A25" s="8"/>
      <c r="B25" s="8" t="str">
        <f aca="false">IF(D25="","",Y25)</f>
        <v/>
      </c>
      <c r="C25" s="8" t="str">
        <f aca="false">IF(D25="","",Y25&amp;"_"&amp;D25)</f>
        <v/>
      </c>
      <c r="D25" s="9"/>
      <c r="E25" s="8" t="str">
        <f aca="false">IF(D25="","",TRIM(D25&amp;" "&amp;Y25&amp;" "&amp;Z25&amp;" "&amp;IF(AA25="","",TEXT(AA25,"0.00")&amp;"g")&amp;" "&amp;AB25&amp;" "&amp;AF25&amp;IF(AC25="",""," Sz# "&amp;AC25)&amp;IF(AD25="Preloved"," [Preloved]","")))</f>
        <v/>
      </c>
      <c r="F25" s="8"/>
      <c r="G25" s="10"/>
      <c r="H25" s="10"/>
      <c r="I25" s="8" t="str">
        <f aca="false">IF(D25="","",1)</f>
        <v/>
      </c>
      <c r="J25" s="8"/>
      <c r="K25" s="8" t="str">
        <f aca="false">IF(AA25="","",AA25/1000)</f>
        <v/>
      </c>
      <c r="L25" s="9"/>
      <c r="M25" s="9"/>
      <c r="N25" s="8"/>
      <c r="O25" s="9"/>
      <c r="P25" s="9"/>
      <c r="Q25" s="9"/>
      <c r="R25" s="9"/>
      <c r="S25" s="9"/>
      <c r="T25" s="9"/>
      <c r="U25" s="9"/>
      <c r="V25" s="9"/>
      <c r="W25" s="9"/>
      <c r="X25" s="9"/>
      <c r="Y25" s="9"/>
      <c r="Z25" s="9"/>
      <c r="AA25" s="9"/>
      <c r="AB25" s="9"/>
      <c r="AC25" s="9"/>
      <c r="AD25" s="9"/>
      <c r="AE25" s="9"/>
      <c r="AF25" s="9"/>
    </row>
    <row r="26" customFormat="false" ht="15" hidden="false" customHeight="false" outlineLevel="0" collapsed="false">
      <c r="A26" s="8"/>
      <c r="B26" s="8" t="str">
        <f aca="false">IF(D26="","",Y26)</f>
        <v/>
      </c>
      <c r="C26" s="8" t="str">
        <f aca="false">IF(D26="","",Y26&amp;"_"&amp;D26)</f>
        <v/>
      </c>
      <c r="D26" s="9"/>
      <c r="E26" s="8" t="str">
        <f aca="false">IF(D26="","",TRIM(D26&amp;" "&amp;Y26&amp;" "&amp;Z26&amp;" "&amp;IF(AA26="","",TEXT(AA26,"0.00")&amp;"g")&amp;" "&amp;AB26&amp;" "&amp;AF26&amp;IF(AC26="",""," Sz# "&amp;AC26)&amp;IF(AD26="Preloved"," [Preloved]","")))</f>
        <v/>
      </c>
      <c r="F26" s="8"/>
      <c r="G26" s="10"/>
      <c r="H26" s="10"/>
      <c r="I26" s="8" t="str">
        <f aca="false">IF(D26="","",1)</f>
        <v/>
      </c>
      <c r="J26" s="8"/>
      <c r="K26" s="8" t="str">
        <f aca="false">IF(AA26="","",AA26/1000)</f>
        <v/>
      </c>
      <c r="L26" s="9"/>
      <c r="M26" s="9"/>
      <c r="N26" s="8"/>
      <c r="O26" s="9"/>
      <c r="P26" s="9"/>
      <c r="Q26" s="9"/>
      <c r="R26" s="9"/>
      <c r="S26" s="9"/>
      <c r="T26" s="9"/>
      <c r="U26" s="9"/>
      <c r="V26" s="9"/>
      <c r="W26" s="9"/>
      <c r="X26" s="9"/>
      <c r="Y26" s="9"/>
      <c r="Z26" s="9"/>
      <c r="AA26" s="9"/>
      <c r="AB26" s="9"/>
      <c r="AC26" s="9"/>
      <c r="AD26" s="9"/>
      <c r="AE26" s="9"/>
      <c r="AF26" s="9"/>
    </row>
    <row r="27" customFormat="false" ht="15" hidden="false" customHeight="false" outlineLevel="0" collapsed="false">
      <c r="A27" s="8"/>
      <c r="B27" s="8" t="str">
        <f aca="false">IF(D27="","",Y27)</f>
        <v/>
      </c>
      <c r="C27" s="8" t="str">
        <f aca="false">IF(D27="","",Y27&amp;"_"&amp;D27)</f>
        <v/>
      </c>
      <c r="D27" s="9"/>
      <c r="E27" s="8" t="str">
        <f aca="false">IF(D27="","",TRIM(D27&amp;" "&amp;Y27&amp;" "&amp;Z27&amp;" "&amp;IF(AA27="","",TEXT(AA27,"0.00")&amp;"g")&amp;" "&amp;AB27&amp;" "&amp;AF27&amp;IF(AC27="",""," Sz# "&amp;AC27)&amp;IF(AD27="Preloved"," [Preloved]","")))</f>
        <v/>
      </c>
      <c r="F27" s="8"/>
      <c r="G27" s="10"/>
      <c r="H27" s="10"/>
      <c r="I27" s="8" t="str">
        <f aca="false">IF(D27="","",1)</f>
        <v/>
      </c>
      <c r="J27" s="8"/>
      <c r="K27" s="8" t="str">
        <f aca="false">IF(AA27="","",AA27/1000)</f>
        <v/>
      </c>
      <c r="L27" s="9"/>
      <c r="M27" s="9"/>
      <c r="N27" s="8"/>
      <c r="O27" s="9"/>
      <c r="P27" s="9"/>
      <c r="Q27" s="9"/>
      <c r="R27" s="9"/>
      <c r="S27" s="9"/>
      <c r="T27" s="9"/>
      <c r="U27" s="9"/>
      <c r="V27" s="9"/>
      <c r="W27" s="9"/>
      <c r="X27" s="9"/>
      <c r="Y27" s="9"/>
      <c r="Z27" s="9"/>
      <c r="AA27" s="9"/>
      <c r="AB27" s="9"/>
      <c r="AC27" s="9"/>
      <c r="AD27" s="9"/>
      <c r="AE27" s="9"/>
      <c r="AF27" s="9"/>
    </row>
    <row r="28" customFormat="false" ht="15" hidden="false" customHeight="false" outlineLevel="0" collapsed="false">
      <c r="A28" s="8"/>
      <c r="B28" s="8" t="str">
        <f aca="false">IF(D28="","",Y28)</f>
        <v/>
      </c>
      <c r="C28" s="8" t="str">
        <f aca="false">IF(D28="","",Y28&amp;"_"&amp;D28)</f>
        <v/>
      </c>
      <c r="D28" s="9"/>
      <c r="E28" s="8" t="str">
        <f aca="false">IF(D28="","",TRIM(D28&amp;" "&amp;Y28&amp;" "&amp;Z28&amp;" "&amp;IF(AA28="","",TEXT(AA28,"0.00")&amp;"g")&amp;" "&amp;AB28&amp;" "&amp;AF28&amp;IF(AC28="",""," Sz# "&amp;AC28)&amp;IF(AD28="Preloved"," [Preloved]","")))</f>
        <v/>
      </c>
      <c r="F28" s="8"/>
      <c r="G28" s="10"/>
      <c r="H28" s="10"/>
      <c r="I28" s="8" t="str">
        <f aca="false">IF(D28="","",1)</f>
        <v/>
      </c>
      <c r="J28" s="8"/>
      <c r="K28" s="8" t="str">
        <f aca="false">IF(AA28="","",AA28/1000)</f>
        <v/>
      </c>
      <c r="L28" s="9"/>
      <c r="M28" s="9"/>
      <c r="N28" s="8"/>
      <c r="O28" s="9"/>
      <c r="P28" s="9"/>
      <c r="Q28" s="9"/>
      <c r="R28" s="9"/>
      <c r="S28" s="9"/>
      <c r="T28" s="9"/>
      <c r="U28" s="9"/>
      <c r="V28" s="9"/>
      <c r="W28" s="9"/>
      <c r="X28" s="9"/>
      <c r="Y28" s="9"/>
      <c r="Z28" s="9"/>
      <c r="AA28" s="9"/>
      <c r="AB28" s="9"/>
      <c r="AC28" s="9"/>
      <c r="AD28" s="9"/>
      <c r="AE28" s="9"/>
      <c r="AF28" s="9"/>
    </row>
    <row r="29" customFormat="false" ht="15" hidden="false" customHeight="false" outlineLevel="0" collapsed="false">
      <c r="A29" s="8"/>
      <c r="B29" s="8" t="str">
        <f aca="false">IF(D29="","",Y29)</f>
        <v/>
      </c>
      <c r="C29" s="8" t="str">
        <f aca="false">IF(D29="","",Y29&amp;"_"&amp;D29)</f>
        <v/>
      </c>
      <c r="D29" s="9"/>
      <c r="E29" s="8" t="str">
        <f aca="false">IF(D29="","",TRIM(D29&amp;" "&amp;Y29&amp;" "&amp;Z29&amp;" "&amp;IF(AA29="","",TEXT(AA29,"0.00")&amp;"g")&amp;" "&amp;AB29&amp;" "&amp;AF29&amp;IF(AC29="",""," Sz# "&amp;AC29)&amp;IF(AD29="Preloved"," [Preloved]","")))</f>
        <v/>
      </c>
      <c r="F29" s="8"/>
      <c r="G29" s="10"/>
      <c r="H29" s="10"/>
      <c r="I29" s="8" t="str">
        <f aca="false">IF(D29="","",1)</f>
        <v/>
      </c>
      <c r="J29" s="8"/>
      <c r="K29" s="8" t="str">
        <f aca="false">IF(AA29="","",AA29/1000)</f>
        <v/>
      </c>
      <c r="L29" s="9"/>
      <c r="M29" s="9"/>
      <c r="N29" s="8"/>
      <c r="O29" s="9"/>
      <c r="P29" s="9"/>
      <c r="Q29" s="9"/>
      <c r="R29" s="9"/>
      <c r="S29" s="9"/>
      <c r="T29" s="9"/>
      <c r="U29" s="9"/>
      <c r="V29" s="9"/>
      <c r="W29" s="9"/>
      <c r="X29" s="9"/>
      <c r="Y29" s="9"/>
      <c r="Z29" s="9"/>
      <c r="AA29" s="9"/>
      <c r="AB29" s="9"/>
      <c r="AC29" s="9"/>
      <c r="AD29" s="9"/>
      <c r="AE29" s="9"/>
      <c r="AF29" s="9"/>
    </row>
    <row r="30" customFormat="false" ht="15" hidden="false" customHeight="false" outlineLevel="0" collapsed="false">
      <c r="A30" s="8"/>
      <c r="B30" s="8" t="str">
        <f aca="false">IF(D30="","",Y30)</f>
        <v/>
      </c>
      <c r="C30" s="8" t="str">
        <f aca="false">IF(D30="","",Y30&amp;"_"&amp;D30)</f>
        <v/>
      </c>
      <c r="D30" s="9"/>
      <c r="E30" s="8" t="str">
        <f aca="false">IF(D30="","",TRIM(D30&amp;" "&amp;Y30&amp;" "&amp;Z30&amp;" "&amp;IF(AA30="","",TEXT(AA30,"0.00")&amp;"g")&amp;" "&amp;AB30&amp;" "&amp;AF30&amp;IF(AC30="",""," Sz# "&amp;AC30)&amp;IF(AD30="Preloved"," [Preloved]","")))</f>
        <v/>
      </c>
      <c r="F30" s="8"/>
      <c r="G30" s="10"/>
      <c r="H30" s="10"/>
      <c r="I30" s="8" t="str">
        <f aca="false">IF(D30="","",1)</f>
        <v/>
      </c>
      <c r="J30" s="8"/>
      <c r="K30" s="8" t="str">
        <f aca="false">IF(AA30="","",AA30/1000)</f>
        <v/>
      </c>
      <c r="L30" s="9"/>
      <c r="M30" s="9"/>
      <c r="N30" s="8"/>
      <c r="O30" s="9"/>
      <c r="P30" s="9"/>
      <c r="Q30" s="9"/>
      <c r="R30" s="9"/>
      <c r="S30" s="9"/>
      <c r="T30" s="9"/>
      <c r="U30" s="9"/>
      <c r="V30" s="9"/>
      <c r="W30" s="9"/>
      <c r="X30" s="9"/>
      <c r="Y30" s="9"/>
      <c r="Z30" s="9"/>
      <c r="AA30" s="9"/>
      <c r="AB30" s="9"/>
      <c r="AC30" s="9"/>
      <c r="AD30" s="9"/>
      <c r="AE30" s="9"/>
      <c r="AF30" s="9"/>
    </row>
    <row r="31" customFormat="false" ht="15" hidden="false" customHeight="false" outlineLevel="0" collapsed="false">
      <c r="A31" s="8"/>
      <c r="B31" s="8" t="str">
        <f aca="false">IF(D31="","",Y31)</f>
        <v/>
      </c>
      <c r="C31" s="8" t="str">
        <f aca="false">IF(D31="","",Y31&amp;"_"&amp;D31)</f>
        <v/>
      </c>
      <c r="D31" s="9"/>
      <c r="E31" s="8" t="str">
        <f aca="false">IF(D31="","",TRIM(D31&amp;" "&amp;Y31&amp;" "&amp;Z31&amp;" "&amp;IF(AA31="","",TEXT(AA31,"0.00")&amp;"g")&amp;" "&amp;AB31&amp;" "&amp;AF31&amp;IF(AC31="",""," Sz# "&amp;AC31)&amp;IF(AD31="Preloved"," [Preloved]","")))</f>
        <v/>
      </c>
      <c r="F31" s="8"/>
      <c r="G31" s="10"/>
      <c r="H31" s="10"/>
      <c r="I31" s="8" t="str">
        <f aca="false">IF(D31="","",1)</f>
        <v/>
      </c>
      <c r="J31" s="8"/>
      <c r="K31" s="8" t="str">
        <f aca="false">IF(AA31="","",AA31/1000)</f>
        <v/>
      </c>
      <c r="L31" s="9"/>
      <c r="M31" s="9"/>
      <c r="N31" s="8"/>
      <c r="O31" s="9"/>
      <c r="P31" s="9"/>
      <c r="Q31" s="9"/>
      <c r="R31" s="9"/>
      <c r="S31" s="9"/>
      <c r="T31" s="9"/>
      <c r="U31" s="9"/>
      <c r="V31" s="9"/>
      <c r="W31" s="9"/>
      <c r="X31" s="9"/>
      <c r="Y31" s="9"/>
      <c r="Z31" s="9"/>
      <c r="AA31" s="9"/>
      <c r="AB31" s="9"/>
      <c r="AC31" s="9"/>
      <c r="AD31" s="9"/>
      <c r="AE31" s="9"/>
      <c r="AF31" s="9"/>
    </row>
    <row r="32" customFormat="false" ht="15" hidden="false" customHeight="false" outlineLevel="0" collapsed="false">
      <c r="A32" s="8"/>
      <c r="B32" s="8" t="str">
        <f aca="false">IF(D32="","",Y32)</f>
        <v/>
      </c>
      <c r="C32" s="8" t="str">
        <f aca="false">IF(D32="","",Y32&amp;"_"&amp;D32)</f>
        <v/>
      </c>
      <c r="D32" s="9"/>
      <c r="E32" s="8" t="str">
        <f aca="false">IF(D32="","",TRIM(D32&amp;" "&amp;Y32&amp;" "&amp;Z32&amp;" "&amp;IF(AA32="","",TEXT(AA32,"0.00")&amp;"g")&amp;" "&amp;AB32&amp;" "&amp;AF32&amp;IF(AC32="",""," Sz# "&amp;AC32)&amp;IF(AD32="Preloved"," [Preloved]","")))</f>
        <v/>
      </c>
      <c r="F32" s="8"/>
      <c r="G32" s="10"/>
      <c r="H32" s="10"/>
      <c r="I32" s="8" t="str">
        <f aca="false">IF(D32="","",1)</f>
        <v/>
      </c>
      <c r="J32" s="8"/>
      <c r="K32" s="8" t="str">
        <f aca="false">IF(AA32="","",AA32/1000)</f>
        <v/>
      </c>
      <c r="L32" s="9"/>
      <c r="M32" s="9"/>
      <c r="N32" s="8"/>
      <c r="O32" s="9"/>
      <c r="P32" s="9"/>
      <c r="Q32" s="9"/>
      <c r="R32" s="9"/>
      <c r="S32" s="9"/>
      <c r="T32" s="9"/>
      <c r="U32" s="9"/>
      <c r="V32" s="9"/>
      <c r="W32" s="9"/>
      <c r="X32" s="9"/>
      <c r="Y32" s="9"/>
      <c r="Z32" s="9"/>
      <c r="AA32" s="9"/>
      <c r="AB32" s="9"/>
      <c r="AC32" s="9"/>
      <c r="AD32" s="9"/>
      <c r="AE32" s="9"/>
      <c r="AF32" s="9"/>
    </row>
    <row r="33" customFormat="false" ht="15" hidden="false" customHeight="false" outlineLevel="0" collapsed="false">
      <c r="A33" s="8"/>
      <c r="B33" s="8" t="str">
        <f aca="false">IF(D33="","",Y33)</f>
        <v/>
      </c>
      <c r="C33" s="8" t="str">
        <f aca="false">IF(D33="","",Y33&amp;"_"&amp;D33)</f>
        <v/>
      </c>
      <c r="D33" s="9"/>
      <c r="E33" s="8" t="str">
        <f aca="false">IF(D33="","",TRIM(D33&amp;" "&amp;Y33&amp;" "&amp;Z33&amp;" "&amp;IF(AA33="","",TEXT(AA33,"0.00")&amp;"g")&amp;" "&amp;AB33&amp;" "&amp;AF33&amp;IF(AC33="",""," Sz# "&amp;AC33)&amp;IF(AD33="Preloved"," [Preloved]","")))</f>
        <v/>
      </c>
      <c r="F33" s="8"/>
      <c r="G33" s="10"/>
      <c r="H33" s="10"/>
      <c r="I33" s="8" t="str">
        <f aca="false">IF(D33="","",1)</f>
        <v/>
      </c>
      <c r="J33" s="8"/>
      <c r="K33" s="8" t="str">
        <f aca="false">IF(AA33="","",AA33/1000)</f>
        <v/>
      </c>
      <c r="L33" s="9"/>
      <c r="M33" s="9"/>
      <c r="N33" s="8"/>
      <c r="O33" s="9"/>
      <c r="P33" s="9"/>
      <c r="Q33" s="9"/>
      <c r="R33" s="9"/>
      <c r="S33" s="9"/>
      <c r="T33" s="9"/>
      <c r="U33" s="9"/>
      <c r="V33" s="9"/>
      <c r="W33" s="9"/>
      <c r="X33" s="9"/>
      <c r="Y33" s="9"/>
      <c r="Z33" s="9"/>
      <c r="AA33" s="9"/>
      <c r="AB33" s="9"/>
      <c r="AC33" s="9"/>
      <c r="AD33" s="9"/>
      <c r="AE33" s="9"/>
      <c r="AF33" s="9"/>
    </row>
    <row r="34" customFormat="false" ht="15" hidden="false" customHeight="false" outlineLevel="0" collapsed="false">
      <c r="A34" s="8"/>
      <c r="B34" s="8" t="str">
        <f aca="false">IF(D34="","",Y34)</f>
        <v/>
      </c>
      <c r="C34" s="8" t="str">
        <f aca="false">IF(D34="","",Y34&amp;"_"&amp;D34)</f>
        <v/>
      </c>
      <c r="D34" s="9"/>
      <c r="E34" s="8" t="str">
        <f aca="false">IF(D34="","",TRIM(D34&amp;" "&amp;Y34&amp;" "&amp;Z34&amp;" "&amp;IF(AA34="","",TEXT(AA34,"0.00")&amp;"g")&amp;" "&amp;AB34&amp;" "&amp;AF34&amp;IF(AC34="",""," Sz# "&amp;AC34)&amp;IF(AD34="Preloved"," [Preloved]","")))</f>
        <v/>
      </c>
      <c r="F34" s="8"/>
      <c r="G34" s="10"/>
      <c r="H34" s="10"/>
      <c r="I34" s="8" t="str">
        <f aca="false">IF(D34="","",1)</f>
        <v/>
      </c>
      <c r="J34" s="8"/>
      <c r="K34" s="8" t="str">
        <f aca="false">IF(AA34="","",AA34/1000)</f>
        <v/>
      </c>
      <c r="L34" s="9"/>
      <c r="M34" s="9"/>
      <c r="N34" s="8"/>
      <c r="O34" s="9"/>
      <c r="P34" s="9"/>
      <c r="Q34" s="9"/>
      <c r="R34" s="9"/>
      <c r="S34" s="9"/>
      <c r="T34" s="9"/>
      <c r="U34" s="9"/>
      <c r="V34" s="9"/>
      <c r="W34" s="9"/>
      <c r="X34" s="9"/>
      <c r="Y34" s="9"/>
      <c r="Z34" s="9"/>
      <c r="AA34" s="9"/>
      <c r="AB34" s="9"/>
      <c r="AC34" s="9"/>
      <c r="AD34" s="9"/>
      <c r="AE34" s="9"/>
      <c r="AF34" s="9"/>
    </row>
    <row r="35" customFormat="false" ht="15" hidden="false" customHeight="false" outlineLevel="0" collapsed="false">
      <c r="A35" s="8"/>
      <c r="B35" s="8" t="str">
        <f aca="false">IF(D35="","",Y35)</f>
        <v/>
      </c>
      <c r="C35" s="8" t="str">
        <f aca="false">IF(D35="","",Y35&amp;"_"&amp;D35)</f>
        <v/>
      </c>
      <c r="D35" s="9"/>
      <c r="E35" s="8" t="str">
        <f aca="false">IF(D35="","",TRIM(D35&amp;" "&amp;Y35&amp;" "&amp;Z35&amp;" "&amp;IF(AA35="","",TEXT(AA35,"0.00")&amp;"g")&amp;" "&amp;AB35&amp;" "&amp;AF35&amp;IF(AC35="",""," Sz# "&amp;AC35)&amp;IF(AD35="Preloved"," [Preloved]","")))</f>
        <v/>
      </c>
      <c r="F35" s="8"/>
      <c r="G35" s="10"/>
      <c r="H35" s="10"/>
      <c r="I35" s="8" t="str">
        <f aca="false">IF(D35="","",1)</f>
        <v/>
      </c>
      <c r="J35" s="8"/>
      <c r="K35" s="8" t="str">
        <f aca="false">IF(AA35="","",AA35/1000)</f>
        <v/>
      </c>
      <c r="L35" s="9"/>
      <c r="M35" s="9"/>
      <c r="N35" s="8"/>
      <c r="O35" s="9"/>
      <c r="P35" s="9"/>
      <c r="Q35" s="9"/>
      <c r="R35" s="9"/>
      <c r="S35" s="9"/>
      <c r="T35" s="9"/>
      <c r="U35" s="9"/>
      <c r="V35" s="9"/>
      <c r="W35" s="9"/>
      <c r="X35" s="9"/>
      <c r="Y35" s="9"/>
      <c r="Z35" s="9"/>
      <c r="AA35" s="9"/>
      <c r="AB35" s="9"/>
      <c r="AC35" s="9"/>
      <c r="AD35" s="9"/>
      <c r="AE35" s="9"/>
      <c r="AF35" s="9"/>
    </row>
    <row r="36" customFormat="false" ht="15" hidden="false" customHeight="false" outlineLevel="0" collapsed="false">
      <c r="A36" s="8"/>
      <c r="B36" s="8" t="str">
        <f aca="false">IF(D36="","",Y36)</f>
        <v/>
      </c>
      <c r="C36" s="8" t="str">
        <f aca="false">IF(D36="","",Y36&amp;"_"&amp;D36)</f>
        <v/>
      </c>
      <c r="D36" s="9"/>
      <c r="E36" s="8" t="str">
        <f aca="false">IF(D36="","",TRIM(D36&amp;" "&amp;Y36&amp;" "&amp;Z36&amp;" "&amp;IF(AA36="","",TEXT(AA36,"0.00")&amp;"g")&amp;" "&amp;AB36&amp;" "&amp;AF36&amp;IF(AC36="",""," Sz# "&amp;AC36)&amp;IF(AD36="Preloved"," [Preloved]","")))</f>
        <v/>
      </c>
      <c r="F36" s="8"/>
      <c r="G36" s="10"/>
      <c r="H36" s="10"/>
      <c r="I36" s="8" t="str">
        <f aca="false">IF(D36="","",1)</f>
        <v/>
      </c>
      <c r="J36" s="8"/>
      <c r="K36" s="8" t="str">
        <f aca="false">IF(AA36="","",AA36/1000)</f>
        <v/>
      </c>
      <c r="L36" s="9"/>
      <c r="M36" s="9"/>
      <c r="N36" s="8"/>
      <c r="O36" s="9"/>
      <c r="P36" s="9"/>
      <c r="Q36" s="9"/>
      <c r="R36" s="9"/>
      <c r="S36" s="9"/>
      <c r="T36" s="9"/>
      <c r="U36" s="9"/>
      <c r="V36" s="9"/>
      <c r="W36" s="9"/>
      <c r="X36" s="9"/>
      <c r="Y36" s="9"/>
      <c r="Z36" s="9"/>
      <c r="AA36" s="9"/>
      <c r="AB36" s="9"/>
      <c r="AC36" s="9"/>
      <c r="AD36" s="9"/>
      <c r="AE36" s="9"/>
      <c r="AF36" s="9"/>
    </row>
    <row r="37" customFormat="false" ht="15" hidden="false" customHeight="false" outlineLevel="0" collapsed="false">
      <c r="A37" s="8"/>
      <c r="B37" s="8" t="str">
        <f aca="false">IF(D37="","",Y37)</f>
        <v/>
      </c>
      <c r="C37" s="8" t="str">
        <f aca="false">IF(D37="","",Y37&amp;"_"&amp;D37)</f>
        <v/>
      </c>
      <c r="D37" s="9"/>
      <c r="E37" s="8" t="str">
        <f aca="false">IF(D37="","",TRIM(D37&amp;" "&amp;Y37&amp;" "&amp;Z37&amp;" "&amp;IF(AA37="","",TEXT(AA37,"0.00")&amp;"g")&amp;" "&amp;AB37&amp;" "&amp;AF37&amp;IF(AC37="",""," Sz# "&amp;AC37)&amp;IF(AD37="Preloved"," [Preloved]","")))</f>
        <v/>
      </c>
      <c r="F37" s="8"/>
      <c r="G37" s="10"/>
      <c r="H37" s="10"/>
      <c r="I37" s="8" t="str">
        <f aca="false">IF(D37="","",1)</f>
        <v/>
      </c>
      <c r="J37" s="8"/>
      <c r="K37" s="8" t="str">
        <f aca="false">IF(AA37="","",AA37/1000)</f>
        <v/>
      </c>
      <c r="L37" s="9"/>
      <c r="M37" s="9"/>
      <c r="N37" s="8"/>
      <c r="O37" s="9"/>
      <c r="P37" s="9"/>
      <c r="Q37" s="9"/>
      <c r="R37" s="9"/>
      <c r="S37" s="9"/>
      <c r="T37" s="9"/>
      <c r="U37" s="9"/>
      <c r="V37" s="9"/>
      <c r="W37" s="9"/>
      <c r="X37" s="9"/>
      <c r="Y37" s="9"/>
      <c r="Z37" s="9"/>
      <c r="AA37" s="9"/>
      <c r="AB37" s="9"/>
      <c r="AC37" s="9"/>
      <c r="AD37" s="9"/>
      <c r="AE37" s="9"/>
      <c r="AF37" s="9"/>
    </row>
    <row r="38" customFormat="false" ht="15" hidden="false" customHeight="false" outlineLevel="0" collapsed="false">
      <c r="A38" s="8"/>
      <c r="B38" s="8" t="str">
        <f aca="false">IF(D38="","",Y38)</f>
        <v/>
      </c>
      <c r="C38" s="8" t="str">
        <f aca="false">IF(D38="","",Y38&amp;"_"&amp;D38)</f>
        <v/>
      </c>
      <c r="D38" s="9"/>
      <c r="E38" s="8" t="str">
        <f aca="false">IF(D38="","",TRIM(D38&amp;" "&amp;Y38&amp;" "&amp;Z38&amp;" "&amp;IF(AA38="","",TEXT(AA38,"0.00")&amp;"g")&amp;" "&amp;AB38&amp;" "&amp;AF38&amp;IF(AC38="",""," Sz# "&amp;AC38)&amp;IF(AD38="Preloved"," [Preloved]","")))</f>
        <v/>
      </c>
      <c r="F38" s="8"/>
      <c r="G38" s="10"/>
      <c r="H38" s="10"/>
      <c r="I38" s="8" t="str">
        <f aca="false">IF(D38="","",1)</f>
        <v/>
      </c>
      <c r="J38" s="8"/>
      <c r="K38" s="8" t="str">
        <f aca="false">IF(AA38="","",AA38/1000)</f>
        <v/>
      </c>
      <c r="L38" s="9"/>
      <c r="M38" s="9"/>
      <c r="N38" s="8"/>
      <c r="O38" s="9"/>
      <c r="P38" s="9"/>
      <c r="Q38" s="9"/>
      <c r="R38" s="9"/>
      <c r="S38" s="9"/>
      <c r="T38" s="9"/>
      <c r="U38" s="9"/>
      <c r="V38" s="9"/>
      <c r="W38" s="9"/>
      <c r="X38" s="9"/>
      <c r="Y38" s="9"/>
      <c r="Z38" s="9"/>
      <c r="AA38" s="9"/>
      <c r="AB38" s="9"/>
      <c r="AC38" s="9"/>
      <c r="AD38" s="9"/>
      <c r="AE38" s="9"/>
      <c r="AF38" s="9"/>
    </row>
    <row r="39" customFormat="false" ht="15" hidden="false" customHeight="false" outlineLevel="0" collapsed="false">
      <c r="A39" s="8"/>
      <c r="B39" s="8" t="str">
        <f aca="false">IF(D39="","",Y39)</f>
        <v/>
      </c>
      <c r="C39" s="8" t="str">
        <f aca="false">IF(D39="","",Y39&amp;"_"&amp;D39)</f>
        <v/>
      </c>
      <c r="D39" s="9"/>
      <c r="E39" s="8" t="str">
        <f aca="false">IF(D39="","",TRIM(D39&amp;" "&amp;Y39&amp;" "&amp;Z39&amp;" "&amp;IF(AA39="","",TEXT(AA39,"0.00")&amp;"g")&amp;" "&amp;AB39&amp;" "&amp;AF39&amp;IF(AC39="",""," Sz# "&amp;AC39)&amp;IF(AD39="Preloved"," [Preloved]","")))</f>
        <v/>
      </c>
      <c r="F39" s="8"/>
      <c r="G39" s="10"/>
      <c r="H39" s="10"/>
      <c r="I39" s="8" t="str">
        <f aca="false">IF(D39="","",1)</f>
        <v/>
      </c>
      <c r="J39" s="8"/>
      <c r="K39" s="8" t="str">
        <f aca="false">IF(AA39="","",AA39/1000)</f>
        <v/>
      </c>
      <c r="L39" s="9"/>
      <c r="M39" s="9"/>
      <c r="N39" s="8"/>
      <c r="O39" s="9"/>
      <c r="P39" s="9"/>
      <c r="Q39" s="9"/>
      <c r="R39" s="9"/>
      <c r="S39" s="9"/>
      <c r="T39" s="9"/>
      <c r="U39" s="9"/>
      <c r="V39" s="9"/>
      <c r="W39" s="9"/>
      <c r="X39" s="9"/>
      <c r="Y39" s="9"/>
      <c r="Z39" s="9"/>
      <c r="AA39" s="9"/>
      <c r="AB39" s="9"/>
      <c r="AC39" s="9"/>
      <c r="AD39" s="9"/>
      <c r="AE39" s="9"/>
      <c r="AF39" s="9"/>
    </row>
    <row r="40" customFormat="false" ht="15" hidden="false" customHeight="false" outlineLevel="0" collapsed="false">
      <c r="A40" s="8"/>
      <c r="B40" s="8" t="str">
        <f aca="false">IF(D40="","",Y40)</f>
        <v/>
      </c>
      <c r="C40" s="8" t="str">
        <f aca="false">IF(D40="","",Y40&amp;"_"&amp;D40)</f>
        <v/>
      </c>
      <c r="D40" s="9"/>
      <c r="E40" s="8" t="str">
        <f aca="false">IF(D40="","",TRIM(D40&amp;" "&amp;Y40&amp;" "&amp;Z40&amp;" "&amp;IF(AA40="","",TEXT(AA40,"0.00")&amp;"g")&amp;" "&amp;AB40&amp;" "&amp;AF40&amp;IF(AC40="",""," Sz# "&amp;AC40)&amp;IF(AD40="Preloved"," [Preloved]","")))</f>
        <v/>
      </c>
      <c r="F40" s="8"/>
      <c r="G40" s="10"/>
      <c r="H40" s="10"/>
      <c r="I40" s="8" t="str">
        <f aca="false">IF(D40="","",1)</f>
        <v/>
      </c>
      <c r="J40" s="8"/>
      <c r="K40" s="8" t="str">
        <f aca="false">IF(AA40="","",AA40/1000)</f>
        <v/>
      </c>
      <c r="L40" s="9"/>
      <c r="M40" s="9"/>
      <c r="N40" s="8"/>
      <c r="O40" s="9"/>
      <c r="P40" s="9"/>
      <c r="Q40" s="9"/>
      <c r="R40" s="9"/>
      <c r="S40" s="9"/>
      <c r="T40" s="9"/>
      <c r="U40" s="9"/>
      <c r="V40" s="9"/>
      <c r="W40" s="9"/>
      <c r="X40" s="9"/>
      <c r="Y40" s="9"/>
      <c r="Z40" s="9"/>
      <c r="AA40" s="9"/>
      <c r="AB40" s="9"/>
      <c r="AC40" s="9"/>
      <c r="AD40" s="9"/>
      <c r="AE40" s="9"/>
      <c r="AF40" s="9"/>
    </row>
    <row r="41" customFormat="false" ht="15" hidden="false" customHeight="false" outlineLevel="0" collapsed="false">
      <c r="A41" s="8"/>
      <c r="B41" s="8" t="str">
        <f aca="false">IF(D41="","",Y41)</f>
        <v/>
      </c>
      <c r="C41" s="8" t="str">
        <f aca="false">IF(D41="","",Y41&amp;"_"&amp;D41)</f>
        <v/>
      </c>
      <c r="D41" s="9"/>
      <c r="E41" s="8" t="str">
        <f aca="false">IF(D41="","",TRIM(D41&amp;" "&amp;Y41&amp;" "&amp;Z41&amp;" "&amp;IF(AA41="","",TEXT(AA41,"0.00")&amp;"g")&amp;" "&amp;AB41&amp;" "&amp;AF41&amp;IF(AC41="",""," Sz# "&amp;AC41)&amp;IF(AD41="Preloved"," [Preloved]","")))</f>
        <v/>
      </c>
      <c r="F41" s="8"/>
      <c r="G41" s="10"/>
      <c r="H41" s="10"/>
      <c r="I41" s="8" t="str">
        <f aca="false">IF(D41="","",1)</f>
        <v/>
      </c>
      <c r="J41" s="8"/>
      <c r="K41" s="8" t="str">
        <f aca="false">IF(AA41="","",AA41/1000)</f>
        <v/>
      </c>
      <c r="L41" s="9"/>
      <c r="M41" s="9"/>
      <c r="N41" s="8"/>
      <c r="O41" s="9"/>
      <c r="P41" s="9"/>
      <c r="Q41" s="9"/>
      <c r="R41" s="9"/>
      <c r="S41" s="9"/>
      <c r="T41" s="9"/>
      <c r="U41" s="9"/>
      <c r="V41" s="9"/>
      <c r="W41" s="9"/>
      <c r="X41" s="9"/>
      <c r="Y41" s="9"/>
      <c r="Z41" s="9"/>
      <c r="AA41" s="9"/>
      <c r="AB41" s="9"/>
      <c r="AC41" s="9"/>
      <c r="AD41" s="9"/>
      <c r="AE41" s="9"/>
      <c r="AF41" s="9"/>
    </row>
    <row r="42" customFormat="false" ht="15" hidden="false" customHeight="false" outlineLevel="0" collapsed="false">
      <c r="A42" s="8"/>
      <c r="B42" s="8" t="str">
        <f aca="false">IF(D42="","",Y42)</f>
        <v/>
      </c>
      <c r="C42" s="8" t="str">
        <f aca="false">IF(D42="","",Y42&amp;"_"&amp;D42)</f>
        <v/>
      </c>
      <c r="D42" s="9"/>
      <c r="E42" s="8" t="str">
        <f aca="false">IF(D42="","",TRIM(D42&amp;" "&amp;Y42&amp;" "&amp;Z42&amp;" "&amp;IF(AA42="","",TEXT(AA42,"0.00")&amp;"g")&amp;" "&amp;AB42&amp;" "&amp;AF42&amp;IF(AC42="",""," Sz# "&amp;AC42)&amp;IF(AD42="Preloved"," [Preloved]","")))</f>
        <v/>
      </c>
      <c r="F42" s="8"/>
      <c r="G42" s="10"/>
      <c r="H42" s="10"/>
      <c r="I42" s="8" t="str">
        <f aca="false">IF(D42="","",1)</f>
        <v/>
      </c>
      <c r="J42" s="8"/>
      <c r="K42" s="8" t="str">
        <f aca="false">IF(AA42="","",AA42/1000)</f>
        <v/>
      </c>
      <c r="L42" s="9"/>
      <c r="M42" s="9"/>
      <c r="N42" s="8"/>
      <c r="O42" s="9"/>
      <c r="P42" s="9"/>
      <c r="Q42" s="9"/>
      <c r="R42" s="9"/>
      <c r="S42" s="9"/>
      <c r="T42" s="9"/>
      <c r="U42" s="9"/>
      <c r="V42" s="9"/>
      <c r="W42" s="9"/>
      <c r="X42" s="9"/>
      <c r="Y42" s="9"/>
      <c r="Z42" s="9"/>
      <c r="AA42" s="9"/>
      <c r="AB42" s="9"/>
      <c r="AC42" s="9"/>
      <c r="AD42" s="9"/>
      <c r="AE42" s="9"/>
      <c r="AF42" s="9"/>
    </row>
    <row r="43" customFormat="false" ht="15" hidden="false" customHeight="false" outlineLevel="0" collapsed="false">
      <c r="A43" s="8"/>
      <c r="B43" s="8" t="str">
        <f aca="false">IF(D43="","",Y43)</f>
        <v/>
      </c>
      <c r="C43" s="8" t="str">
        <f aca="false">IF(D43="","",Y43&amp;"_"&amp;D43)</f>
        <v/>
      </c>
      <c r="D43" s="9"/>
      <c r="E43" s="8" t="str">
        <f aca="false">IF(D43="","",TRIM(D43&amp;" "&amp;Y43&amp;" "&amp;Z43&amp;" "&amp;IF(AA43="","",TEXT(AA43,"0.00")&amp;"g")&amp;" "&amp;AB43&amp;" "&amp;AF43&amp;IF(AC43="",""," Sz# "&amp;AC43)&amp;IF(AD43="Preloved"," [Preloved]","")))</f>
        <v/>
      </c>
      <c r="F43" s="8"/>
      <c r="G43" s="10"/>
      <c r="H43" s="10"/>
      <c r="I43" s="8" t="str">
        <f aca="false">IF(D43="","",1)</f>
        <v/>
      </c>
      <c r="J43" s="8"/>
      <c r="K43" s="8" t="str">
        <f aca="false">IF(AA43="","",AA43/1000)</f>
        <v/>
      </c>
      <c r="L43" s="9"/>
      <c r="M43" s="9"/>
      <c r="N43" s="8"/>
      <c r="O43" s="9"/>
      <c r="P43" s="9"/>
      <c r="Q43" s="9"/>
      <c r="R43" s="9"/>
      <c r="S43" s="9"/>
      <c r="T43" s="9"/>
      <c r="U43" s="9"/>
      <c r="V43" s="9"/>
      <c r="W43" s="9"/>
      <c r="X43" s="9"/>
      <c r="Y43" s="9"/>
      <c r="Z43" s="9"/>
      <c r="AA43" s="9"/>
      <c r="AB43" s="9"/>
      <c r="AC43" s="9"/>
      <c r="AD43" s="9"/>
      <c r="AE43" s="9"/>
      <c r="AF43" s="9"/>
    </row>
    <row r="44" customFormat="false" ht="15" hidden="false" customHeight="false" outlineLevel="0" collapsed="false">
      <c r="A44" s="8"/>
      <c r="B44" s="8" t="str">
        <f aca="false">IF(D44="","",Y44)</f>
        <v/>
      </c>
      <c r="C44" s="8" t="str">
        <f aca="false">IF(D44="","",Y44&amp;"_"&amp;D44)</f>
        <v/>
      </c>
      <c r="D44" s="9"/>
      <c r="E44" s="8" t="str">
        <f aca="false">IF(D44="","",TRIM(D44&amp;" "&amp;Y44&amp;" "&amp;Z44&amp;" "&amp;IF(AA44="","",TEXT(AA44,"0.00")&amp;"g")&amp;" "&amp;AB44&amp;" "&amp;AF44&amp;IF(AC44="",""," Sz# "&amp;AC44)&amp;IF(AD44="Preloved"," [Preloved]","")))</f>
        <v/>
      </c>
      <c r="F44" s="8"/>
      <c r="G44" s="10"/>
      <c r="H44" s="10"/>
      <c r="I44" s="8" t="str">
        <f aca="false">IF(D44="","",1)</f>
        <v/>
      </c>
      <c r="J44" s="8"/>
      <c r="K44" s="8" t="str">
        <f aca="false">IF(AA44="","",AA44/1000)</f>
        <v/>
      </c>
      <c r="L44" s="9"/>
      <c r="M44" s="9"/>
      <c r="N44" s="8"/>
      <c r="O44" s="9"/>
      <c r="P44" s="9"/>
      <c r="Q44" s="9"/>
      <c r="R44" s="9"/>
      <c r="S44" s="9"/>
      <c r="T44" s="9"/>
      <c r="U44" s="9"/>
      <c r="V44" s="9"/>
      <c r="W44" s="9"/>
      <c r="X44" s="9"/>
      <c r="Y44" s="9"/>
      <c r="Z44" s="9"/>
      <c r="AA44" s="9"/>
      <c r="AB44" s="9"/>
      <c r="AC44" s="9"/>
      <c r="AD44" s="9"/>
      <c r="AE44" s="9"/>
      <c r="AF44" s="9"/>
    </row>
    <row r="45" customFormat="false" ht="15" hidden="false" customHeight="false" outlineLevel="0" collapsed="false">
      <c r="A45" s="8"/>
      <c r="B45" s="8" t="str">
        <f aca="false">IF(D45="","",Y45)</f>
        <v/>
      </c>
      <c r="C45" s="8" t="str">
        <f aca="false">IF(D45="","",Y45&amp;"_"&amp;D45)</f>
        <v/>
      </c>
      <c r="D45" s="9"/>
      <c r="E45" s="8" t="str">
        <f aca="false">IF(D45="","",TRIM(D45&amp;" "&amp;Y45&amp;" "&amp;Z45&amp;" "&amp;IF(AA45="","",TEXT(AA45,"0.00")&amp;"g")&amp;" "&amp;AB45&amp;" "&amp;AF45&amp;IF(AC45="",""," Sz# "&amp;AC45)&amp;IF(AD45="Preloved"," [Preloved]","")))</f>
        <v/>
      </c>
      <c r="F45" s="8"/>
      <c r="G45" s="10"/>
      <c r="H45" s="10"/>
      <c r="I45" s="8" t="str">
        <f aca="false">IF(D45="","",1)</f>
        <v/>
      </c>
      <c r="J45" s="8"/>
      <c r="K45" s="8" t="str">
        <f aca="false">IF(AA45="","",AA45/1000)</f>
        <v/>
      </c>
      <c r="L45" s="9"/>
      <c r="M45" s="9"/>
      <c r="N45" s="8"/>
      <c r="O45" s="9"/>
      <c r="P45" s="9"/>
      <c r="Q45" s="9"/>
      <c r="R45" s="9"/>
      <c r="S45" s="9"/>
      <c r="T45" s="9"/>
      <c r="U45" s="9"/>
      <c r="V45" s="9"/>
      <c r="W45" s="9"/>
      <c r="X45" s="9"/>
      <c r="Y45" s="9"/>
      <c r="Z45" s="9"/>
      <c r="AA45" s="9"/>
      <c r="AB45" s="9"/>
      <c r="AC45" s="9"/>
      <c r="AD45" s="9"/>
      <c r="AE45" s="9"/>
      <c r="AF45" s="9"/>
    </row>
    <row r="46" customFormat="false" ht="15" hidden="false" customHeight="false" outlineLevel="0" collapsed="false">
      <c r="A46" s="8"/>
      <c r="B46" s="8" t="str">
        <f aca="false">IF(D46="","",Y46)</f>
        <v/>
      </c>
      <c r="C46" s="8" t="str">
        <f aca="false">IF(D46="","",Y46&amp;"_"&amp;D46)</f>
        <v/>
      </c>
      <c r="D46" s="9"/>
      <c r="E46" s="8" t="str">
        <f aca="false">IF(D46="","",TRIM(D46&amp;" "&amp;Y46&amp;" "&amp;Z46&amp;" "&amp;IF(AA46="","",TEXT(AA46,"0.00")&amp;"g")&amp;" "&amp;AB46&amp;" "&amp;AF46&amp;IF(AC46="",""," Sz# "&amp;AC46)&amp;IF(AD46="Preloved"," [Preloved]","")))</f>
        <v/>
      </c>
      <c r="F46" s="8"/>
      <c r="G46" s="10"/>
      <c r="H46" s="10"/>
      <c r="I46" s="8" t="str">
        <f aca="false">IF(D46="","",1)</f>
        <v/>
      </c>
      <c r="J46" s="8"/>
      <c r="K46" s="8" t="str">
        <f aca="false">IF(AA46="","",AA46/1000)</f>
        <v/>
      </c>
      <c r="L46" s="9"/>
      <c r="M46" s="9"/>
      <c r="N46" s="8"/>
      <c r="O46" s="9"/>
      <c r="P46" s="9"/>
      <c r="Q46" s="9"/>
      <c r="R46" s="9"/>
      <c r="S46" s="9"/>
      <c r="T46" s="9"/>
      <c r="U46" s="9"/>
      <c r="V46" s="9"/>
      <c r="W46" s="9"/>
      <c r="X46" s="9"/>
      <c r="Y46" s="9"/>
      <c r="Z46" s="9"/>
      <c r="AA46" s="9"/>
      <c r="AB46" s="9"/>
      <c r="AC46" s="9"/>
      <c r="AD46" s="9"/>
      <c r="AE46" s="9"/>
      <c r="AF46" s="9"/>
    </row>
    <row r="47" customFormat="false" ht="15" hidden="false" customHeight="false" outlineLevel="0" collapsed="false">
      <c r="A47" s="8"/>
      <c r="B47" s="8" t="str">
        <f aca="false">IF(D47="","",Y47)</f>
        <v/>
      </c>
      <c r="C47" s="8" t="str">
        <f aca="false">IF(D47="","",Y47&amp;"_"&amp;D47)</f>
        <v/>
      </c>
      <c r="D47" s="9"/>
      <c r="E47" s="8" t="str">
        <f aca="false">IF(D47="","",TRIM(D47&amp;" "&amp;Y47&amp;" "&amp;Z47&amp;" "&amp;IF(AA47="","",TEXT(AA47,"0.00")&amp;"g")&amp;" "&amp;AB47&amp;" "&amp;AF47&amp;IF(AC47="",""," Sz# "&amp;AC47)&amp;IF(AD47="Preloved"," [Preloved]","")))</f>
        <v/>
      </c>
      <c r="F47" s="8"/>
      <c r="G47" s="10"/>
      <c r="H47" s="10"/>
      <c r="I47" s="8" t="str">
        <f aca="false">IF(D47="","",1)</f>
        <v/>
      </c>
      <c r="J47" s="8"/>
      <c r="K47" s="8" t="str">
        <f aca="false">IF(AA47="","",AA47/1000)</f>
        <v/>
      </c>
      <c r="L47" s="9"/>
      <c r="M47" s="9"/>
      <c r="N47" s="8"/>
      <c r="O47" s="9"/>
      <c r="P47" s="9"/>
      <c r="Q47" s="9"/>
      <c r="R47" s="9"/>
      <c r="S47" s="9"/>
      <c r="T47" s="9"/>
      <c r="U47" s="9"/>
      <c r="V47" s="9"/>
      <c r="W47" s="9"/>
      <c r="X47" s="9"/>
      <c r="Y47" s="9"/>
      <c r="Z47" s="9"/>
      <c r="AA47" s="9"/>
      <c r="AB47" s="9"/>
      <c r="AC47" s="9"/>
      <c r="AD47" s="9"/>
      <c r="AE47" s="9"/>
      <c r="AF47" s="9"/>
    </row>
    <row r="48" customFormat="false" ht="15" hidden="false" customHeight="false" outlineLevel="0" collapsed="false">
      <c r="A48" s="8"/>
      <c r="B48" s="8" t="str">
        <f aca="false">IF(D48="","",Y48)</f>
        <v/>
      </c>
      <c r="C48" s="8" t="str">
        <f aca="false">IF(D48="","",Y48&amp;"_"&amp;D48)</f>
        <v/>
      </c>
      <c r="D48" s="9"/>
      <c r="E48" s="8" t="str">
        <f aca="false">IF(D48="","",TRIM(D48&amp;" "&amp;Y48&amp;" "&amp;Z48&amp;" "&amp;IF(AA48="","",TEXT(AA48,"0.00")&amp;"g")&amp;" "&amp;AB48&amp;" "&amp;AF48&amp;IF(AC48="",""," Sz# "&amp;AC48)&amp;IF(AD48="Preloved"," [Preloved]","")))</f>
        <v/>
      </c>
      <c r="F48" s="8"/>
      <c r="G48" s="10"/>
      <c r="H48" s="10"/>
      <c r="I48" s="8" t="str">
        <f aca="false">IF(D48="","",1)</f>
        <v/>
      </c>
      <c r="J48" s="8"/>
      <c r="K48" s="8" t="str">
        <f aca="false">IF(AA48="","",AA48/1000)</f>
        <v/>
      </c>
      <c r="L48" s="9"/>
      <c r="M48" s="9"/>
      <c r="N48" s="8"/>
      <c r="O48" s="9"/>
      <c r="P48" s="9"/>
      <c r="Q48" s="9"/>
      <c r="R48" s="9"/>
      <c r="S48" s="9"/>
      <c r="T48" s="9"/>
      <c r="U48" s="9"/>
      <c r="V48" s="9"/>
      <c r="W48" s="9"/>
      <c r="X48" s="9"/>
      <c r="Y48" s="9"/>
      <c r="Z48" s="9"/>
      <c r="AA48" s="9"/>
      <c r="AB48" s="9"/>
      <c r="AC48" s="9"/>
      <c r="AD48" s="9"/>
      <c r="AE48" s="9"/>
      <c r="AF48" s="9"/>
    </row>
    <row r="49" customFormat="false" ht="15" hidden="false" customHeight="false" outlineLevel="0" collapsed="false">
      <c r="A49" s="8"/>
      <c r="B49" s="8" t="str">
        <f aca="false">IF(D49="","",Y49)</f>
        <v/>
      </c>
      <c r="C49" s="8" t="str">
        <f aca="false">IF(D49="","",Y49&amp;"_"&amp;D49)</f>
        <v/>
      </c>
      <c r="D49" s="9"/>
      <c r="E49" s="8" t="str">
        <f aca="false">IF(D49="","",TRIM(D49&amp;" "&amp;Y49&amp;" "&amp;Z49&amp;" "&amp;IF(AA49="","",TEXT(AA49,"0.00")&amp;"g")&amp;" "&amp;AB49&amp;" "&amp;AF49&amp;IF(AC49="",""," Sz# "&amp;AC49)&amp;IF(AD49="Preloved"," [Preloved]","")))</f>
        <v/>
      </c>
      <c r="F49" s="8"/>
      <c r="G49" s="10"/>
      <c r="H49" s="10"/>
      <c r="I49" s="8" t="str">
        <f aca="false">IF(D49="","",1)</f>
        <v/>
      </c>
      <c r="J49" s="8"/>
      <c r="K49" s="8" t="str">
        <f aca="false">IF(AA49="","",AA49/1000)</f>
        <v/>
      </c>
      <c r="L49" s="9"/>
      <c r="M49" s="9"/>
      <c r="N49" s="8"/>
      <c r="O49" s="9"/>
      <c r="P49" s="9"/>
      <c r="Q49" s="9"/>
      <c r="R49" s="9"/>
      <c r="S49" s="9"/>
      <c r="T49" s="9"/>
      <c r="U49" s="9"/>
      <c r="V49" s="9"/>
      <c r="W49" s="9"/>
      <c r="X49" s="9"/>
      <c r="Y49" s="9"/>
      <c r="Z49" s="9"/>
      <c r="AA49" s="9"/>
      <c r="AB49" s="9"/>
      <c r="AC49" s="9"/>
      <c r="AD49" s="9"/>
      <c r="AE49" s="9"/>
      <c r="AF49" s="9"/>
    </row>
    <row r="50" customFormat="false" ht="15" hidden="false" customHeight="false" outlineLevel="0" collapsed="false">
      <c r="A50" s="8"/>
      <c r="B50" s="8" t="str">
        <f aca="false">IF(D50="","",Y50)</f>
        <v/>
      </c>
      <c r="C50" s="8" t="str">
        <f aca="false">IF(D50="","",Y50&amp;"_"&amp;D50)</f>
        <v/>
      </c>
      <c r="D50" s="9"/>
      <c r="E50" s="8" t="str">
        <f aca="false">IF(D50="","",TRIM(D50&amp;" "&amp;Y50&amp;" "&amp;Z50&amp;" "&amp;IF(AA50="","",TEXT(AA50,"0.00")&amp;"g")&amp;" "&amp;AB50&amp;" "&amp;AF50&amp;IF(AC50="",""," Sz# "&amp;AC50)&amp;IF(AD50="Preloved"," [Preloved]","")))</f>
        <v/>
      </c>
      <c r="F50" s="8"/>
      <c r="G50" s="10"/>
      <c r="H50" s="10"/>
      <c r="I50" s="8" t="str">
        <f aca="false">IF(D50="","",1)</f>
        <v/>
      </c>
      <c r="J50" s="8"/>
      <c r="K50" s="8" t="str">
        <f aca="false">IF(AA50="","",AA50/1000)</f>
        <v/>
      </c>
      <c r="L50" s="9"/>
      <c r="M50" s="9"/>
      <c r="N50" s="8"/>
      <c r="O50" s="9"/>
      <c r="P50" s="9"/>
      <c r="Q50" s="9"/>
      <c r="R50" s="9"/>
      <c r="S50" s="9"/>
      <c r="T50" s="9"/>
      <c r="U50" s="9"/>
      <c r="V50" s="9"/>
      <c r="W50" s="9"/>
      <c r="X50" s="9"/>
      <c r="Y50" s="9"/>
      <c r="Z50" s="9"/>
      <c r="AA50" s="9"/>
      <c r="AB50" s="9"/>
      <c r="AC50" s="9"/>
      <c r="AD50" s="9"/>
      <c r="AE50" s="9"/>
      <c r="AF50" s="9"/>
    </row>
    <row r="51" customFormat="false" ht="15" hidden="false" customHeight="false" outlineLevel="0" collapsed="false">
      <c r="A51" s="8"/>
      <c r="B51" s="8" t="str">
        <f aca="false">IF(D51="","",Y51)</f>
        <v/>
      </c>
      <c r="C51" s="8" t="str">
        <f aca="false">IF(D51="","",Y51&amp;"_"&amp;D51)</f>
        <v/>
      </c>
      <c r="D51" s="9"/>
      <c r="E51" s="8" t="str">
        <f aca="false">IF(D51="","",TRIM(D51&amp;" "&amp;Y51&amp;" "&amp;Z51&amp;" "&amp;IF(AA51="","",TEXT(AA51,"0.00")&amp;"g")&amp;" "&amp;AB51&amp;" "&amp;AF51&amp;IF(AC51="",""," Sz# "&amp;AC51)&amp;IF(AD51="Preloved"," [Preloved]","")))</f>
        <v/>
      </c>
      <c r="F51" s="8"/>
      <c r="G51" s="10"/>
      <c r="H51" s="10"/>
      <c r="I51" s="8" t="str">
        <f aca="false">IF(D51="","",1)</f>
        <v/>
      </c>
      <c r="J51" s="8"/>
      <c r="K51" s="8" t="str">
        <f aca="false">IF(AA51="","",AA51/1000)</f>
        <v/>
      </c>
      <c r="L51" s="9"/>
      <c r="M51" s="9"/>
      <c r="N51" s="8"/>
      <c r="O51" s="9"/>
      <c r="P51" s="9"/>
      <c r="Q51" s="9"/>
      <c r="R51" s="9"/>
      <c r="S51" s="9"/>
      <c r="T51" s="9"/>
      <c r="U51" s="9"/>
      <c r="V51" s="9"/>
      <c r="W51" s="9"/>
      <c r="X51" s="9"/>
      <c r="Y51" s="9"/>
      <c r="Z51" s="9"/>
      <c r="AA51" s="9"/>
      <c r="AB51" s="9"/>
      <c r="AC51" s="9"/>
      <c r="AD51" s="9"/>
      <c r="AE51" s="9"/>
      <c r="AF51" s="9"/>
    </row>
    <row r="52" customFormat="false" ht="15" hidden="false" customHeight="false" outlineLevel="0" collapsed="false">
      <c r="A52" s="8"/>
      <c r="B52" s="8" t="str">
        <f aca="false">IF(D52="","",Y52)</f>
        <v/>
      </c>
      <c r="C52" s="8" t="str">
        <f aca="false">IF(D52="","",Y52&amp;"_"&amp;D52)</f>
        <v/>
      </c>
      <c r="D52" s="9"/>
      <c r="E52" s="8" t="str">
        <f aca="false">IF(D52="","",TRIM(D52&amp;" "&amp;Y52&amp;" "&amp;Z52&amp;" "&amp;IF(AA52="","",TEXT(AA52,"0.00")&amp;"g")&amp;" "&amp;AB52&amp;" "&amp;AF52&amp;IF(AC52="",""," Sz# "&amp;AC52)&amp;IF(AD52="Preloved"," [Preloved]","")))</f>
        <v/>
      </c>
      <c r="F52" s="8"/>
      <c r="G52" s="10"/>
      <c r="H52" s="10"/>
      <c r="I52" s="8" t="str">
        <f aca="false">IF(D52="","",1)</f>
        <v/>
      </c>
      <c r="J52" s="8"/>
      <c r="K52" s="8" t="str">
        <f aca="false">IF(AA52="","",AA52/1000)</f>
        <v/>
      </c>
      <c r="L52" s="9"/>
      <c r="M52" s="9"/>
      <c r="N52" s="8"/>
      <c r="O52" s="9"/>
      <c r="P52" s="9"/>
      <c r="Q52" s="9"/>
      <c r="R52" s="9"/>
      <c r="S52" s="9"/>
      <c r="T52" s="9"/>
      <c r="U52" s="9"/>
      <c r="V52" s="9"/>
      <c r="W52" s="9"/>
      <c r="X52" s="9"/>
      <c r="Y52" s="9"/>
      <c r="Z52" s="9"/>
      <c r="AA52" s="9"/>
      <c r="AB52" s="9"/>
      <c r="AC52" s="9"/>
      <c r="AD52" s="9"/>
      <c r="AE52" s="9"/>
      <c r="AF52" s="9"/>
    </row>
    <row r="53" customFormat="false" ht="15" hidden="false" customHeight="false" outlineLevel="0" collapsed="false">
      <c r="A53" s="8"/>
      <c r="B53" s="8" t="str">
        <f aca="false">IF(D53="","",Y53)</f>
        <v/>
      </c>
      <c r="C53" s="8" t="str">
        <f aca="false">IF(D53="","",Y53&amp;"_"&amp;D53)</f>
        <v/>
      </c>
      <c r="D53" s="9"/>
      <c r="E53" s="8" t="str">
        <f aca="false">IF(D53="","",TRIM(D53&amp;" "&amp;Y53&amp;" "&amp;Z53&amp;" "&amp;IF(AA53="","",TEXT(AA53,"0.00")&amp;"g")&amp;" "&amp;AB53&amp;" "&amp;AF53&amp;IF(AC53="",""," Sz# "&amp;AC53)&amp;IF(AD53="Preloved"," [Preloved]","")))</f>
        <v/>
      </c>
      <c r="F53" s="8"/>
      <c r="G53" s="10"/>
      <c r="H53" s="10"/>
      <c r="I53" s="8" t="str">
        <f aca="false">IF(D53="","",1)</f>
        <v/>
      </c>
      <c r="J53" s="8"/>
      <c r="K53" s="8" t="str">
        <f aca="false">IF(AA53="","",AA53/1000)</f>
        <v/>
      </c>
      <c r="L53" s="9"/>
      <c r="M53" s="9"/>
      <c r="N53" s="8"/>
      <c r="O53" s="9"/>
      <c r="P53" s="9"/>
      <c r="Q53" s="9"/>
      <c r="R53" s="9"/>
      <c r="S53" s="9"/>
      <c r="T53" s="9"/>
      <c r="U53" s="9"/>
      <c r="V53" s="9"/>
      <c r="W53" s="9"/>
      <c r="X53" s="9"/>
      <c r="Y53" s="9"/>
      <c r="Z53" s="9"/>
      <c r="AA53" s="9"/>
      <c r="AB53" s="9"/>
      <c r="AC53" s="9"/>
      <c r="AD53" s="9"/>
      <c r="AE53" s="9"/>
      <c r="AF53" s="9"/>
    </row>
    <row r="54" customFormat="false" ht="15" hidden="false" customHeight="false" outlineLevel="0" collapsed="false">
      <c r="A54" s="8"/>
      <c r="B54" s="8" t="str">
        <f aca="false">IF(D54="","",Y54)</f>
        <v/>
      </c>
      <c r="C54" s="8" t="str">
        <f aca="false">IF(D54="","",Y54&amp;"_"&amp;D54)</f>
        <v/>
      </c>
      <c r="D54" s="9"/>
      <c r="E54" s="8" t="str">
        <f aca="false">IF(D54="","",TRIM(D54&amp;" "&amp;Y54&amp;" "&amp;Z54&amp;" "&amp;IF(AA54="","",TEXT(AA54,"0.00")&amp;"g")&amp;" "&amp;AB54&amp;" "&amp;AF54&amp;IF(AC54="",""," Sz# "&amp;AC54)&amp;IF(AD54="Preloved"," [Preloved]","")))</f>
        <v/>
      </c>
      <c r="F54" s="8"/>
      <c r="G54" s="10"/>
      <c r="H54" s="10"/>
      <c r="I54" s="8" t="str">
        <f aca="false">IF(D54="","",1)</f>
        <v/>
      </c>
      <c r="J54" s="8"/>
      <c r="K54" s="8" t="str">
        <f aca="false">IF(AA54="","",AA54/1000)</f>
        <v/>
      </c>
      <c r="L54" s="9"/>
      <c r="M54" s="9"/>
      <c r="N54" s="8"/>
      <c r="O54" s="9"/>
      <c r="P54" s="9"/>
      <c r="Q54" s="9"/>
      <c r="R54" s="9"/>
      <c r="S54" s="9"/>
      <c r="T54" s="9"/>
      <c r="U54" s="9"/>
      <c r="V54" s="9"/>
      <c r="W54" s="9"/>
      <c r="X54" s="9"/>
      <c r="Y54" s="9"/>
      <c r="Z54" s="9"/>
      <c r="AA54" s="9"/>
      <c r="AB54" s="9"/>
      <c r="AC54" s="9"/>
      <c r="AD54" s="9"/>
      <c r="AE54" s="9"/>
      <c r="AF54" s="9"/>
    </row>
    <row r="55" customFormat="false" ht="15" hidden="false" customHeight="false" outlineLevel="0" collapsed="false">
      <c r="A55" s="8"/>
      <c r="B55" s="8" t="str">
        <f aca="false">IF(D55="","",Y55)</f>
        <v/>
      </c>
      <c r="C55" s="8" t="str">
        <f aca="false">IF(D55="","",Y55&amp;"_"&amp;D55)</f>
        <v/>
      </c>
      <c r="D55" s="9"/>
      <c r="E55" s="8" t="str">
        <f aca="false">IF(D55="","",TRIM(D55&amp;" "&amp;Y55&amp;" "&amp;Z55&amp;" "&amp;IF(AA55="","",TEXT(AA55,"0.00")&amp;"g")&amp;" "&amp;AB55&amp;" "&amp;AF55&amp;IF(AC55="",""," Sz# "&amp;AC55)&amp;IF(AD55="Preloved"," [Preloved]","")))</f>
        <v/>
      </c>
      <c r="F55" s="8"/>
      <c r="G55" s="10"/>
      <c r="H55" s="10"/>
      <c r="I55" s="8" t="str">
        <f aca="false">IF(D55="","",1)</f>
        <v/>
      </c>
      <c r="J55" s="8"/>
      <c r="K55" s="8" t="str">
        <f aca="false">IF(AA55="","",AA55/1000)</f>
        <v/>
      </c>
      <c r="L55" s="9"/>
      <c r="M55" s="9"/>
      <c r="N55" s="8"/>
      <c r="O55" s="9"/>
      <c r="P55" s="9"/>
      <c r="Q55" s="9"/>
      <c r="R55" s="9"/>
      <c r="S55" s="9"/>
      <c r="T55" s="9"/>
      <c r="U55" s="9"/>
      <c r="V55" s="9"/>
      <c r="W55" s="9"/>
      <c r="X55" s="9"/>
      <c r="Y55" s="9"/>
      <c r="Z55" s="9"/>
      <c r="AA55" s="9"/>
      <c r="AB55" s="9"/>
      <c r="AC55" s="9"/>
      <c r="AD55" s="9"/>
      <c r="AE55" s="9"/>
      <c r="AF55" s="9"/>
    </row>
    <row r="56" customFormat="false" ht="15" hidden="false" customHeight="false" outlineLevel="0" collapsed="false">
      <c r="A56" s="8"/>
      <c r="B56" s="8" t="str">
        <f aca="false">IF(D56="","",Y56)</f>
        <v/>
      </c>
      <c r="C56" s="8" t="str">
        <f aca="false">IF(D56="","",Y56&amp;"_"&amp;D56)</f>
        <v/>
      </c>
      <c r="D56" s="9"/>
      <c r="E56" s="8" t="str">
        <f aca="false">IF(D56="","",TRIM(D56&amp;" "&amp;Y56&amp;" "&amp;Z56&amp;" "&amp;IF(AA56="","",TEXT(AA56,"0.00")&amp;"g")&amp;" "&amp;AB56&amp;" "&amp;AF56&amp;IF(AC56="",""," Sz# "&amp;AC56)&amp;IF(AD56="Preloved"," [Preloved]","")))</f>
        <v/>
      </c>
      <c r="F56" s="8"/>
      <c r="G56" s="10"/>
      <c r="H56" s="10"/>
      <c r="I56" s="8" t="str">
        <f aca="false">IF(D56="","",1)</f>
        <v/>
      </c>
      <c r="J56" s="8"/>
      <c r="K56" s="8" t="str">
        <f aca="false">IF(AA56="","",AA56/1000)</f>
        <v/>
      </c>
      <c r="L56" s="9"/>
      <c r="M56" s="9"/>
      <c r="N56" s="8"/>
      <c r="O56" s="9"/>
      <c r="P56" s="9"/>
      <c r="Q56" s="9"/>
      <c r="R56" s="9"/>
      <c r="S56" s="9"/>
      <c r="T56" s="9"/>
      <c r="U56" s="9"/>
      <c r="V56" s="9"/>
      <c r="W56" s="9"/>
      <c r="X56" s="9"/>
      <c r="Y56" s="9"/>
      <c r="Z56" s="9"/>
      <c r="AA56" s="9"/>
      <c r="AB56" s="9"/>
      <c r="AC56" s="9"/>
      <c r="AD56" s="9"/>
      <c r="AE56" s="9"/>
      <c r="AF56" s="9"/>
    </row>
    <row r="57" customFormat="false" ht="15" hidden="false" customHeight="false" outlineLevel="0" collapsed="false">
      <c r="A57" s="8"/>
      <c r="B57" s="8" t="str">
        <f aca="false">IF(D57="","",Y57)</f>
        <v/>
      </c>
      <c r="C57" s="8" t="str">
        <f aca="false">IF(D57="","",Y57&amp;"_"&amp;D57)</f>
        <v/>
      </c>
      <c r="D57" s="9"/>
      <c r="E57" s="8" t="str">
        <f aca="false">IF(D57="","",TRIM(D57&amp;" "&amp;Y57&amp;" "&amp;Z57&amp;" "&amp;IF(AA57="","",TEXT(AA57,"0.00")&amp;"g")&amp;" "&amp;AB57&amp;" "&amp;AF57&amp;IF(AC57="",""," Sz# "&amp;AC57)&amp;IF(AD57="Preloved"," [Preloved]","")))</f>
        <v/>
      </c>
      <c r="F57" s="8"/>
      <c r="G57" s="10"/>
      <c r="H57" s="10"/>
      <c r="I57" s="8" t="str">
        <f aca="false">IF(D57="","",1)</f>
        <v/>
      </c>
      <c r="J57" s="8"/>
      <c r="K57" s="8" t="str">
        <f aca="false">IF(AA57="","",AA57/1000)</f>
        <v/>
      </c>
      <c r="L57" s="9"/>
      <c r="M57" s="9"/>
      <c r="N57" s="8"/>
      <c r="O57" s="9"/>
      <c r="P57" s="9"/>
      <c r="Q57" s="9"/>
      <c r="R57" s="9"/>
      <c r="S57" s="9"/>
      <c r="T57" s="9"/>
      <c r="U57" s="9"/>
      <c r="V57" s="9"/>
      <c r="W57" s="9"/>
      <c r="X57" s="9"/>
      <c r="Y57" s="9"/>
      <c r="Z57" s="9"/>
      <c r="AA57" s="9"/>
      <c r="AB57" s="9"/>
      <c r="AC57" s="9"/>
      <c r="AD57" s="9"/>
      <c r="AE57" s="9"/>
      <c r="AF57" s="9"/>
    </row>
    <row r="58" customFormat="false" ht="15" hidden="false" customHeight="false" outlineLevel="0" collapsed="false">
      <c r="A58" s="8"/>
      <c r="B58" s="8" t="str">
        <f aca="false">IF(D58="","",Y58)</f>
        <v/>
      </c>
      <c r="C58" s="8" t="str">
        <f aca="false">IF(D58="","",Y58&amp;"_"&amp;D58)</f>
        <v/>
      </c>
      <c r="D58" s="9"/>
      <c r="E58" s="8" t="str">
        <f aca="false">IF(D58="","",TRIM(D58&amp;" "&amp;Y58&amp;" "&amp;Z58&amp;" "&amp;IF(AA58="","",TEXT(AA58,"0.00")&amp;"g")&amp;" "&amp;AB58&amp;" "&amp;AF58&amp;IF(AC58="",""," Sz# "&amp;AC58)&amp;IF(AD58="Preloved"," [Preloved]","")))</f>
        <v/>
      </c>
      <c r="F58" s="8"/>
      <c r="G58" s="10"/>
      <c r="H58" s="10"/>
      <c r="I58" s="8" t="str">
        <f aca="false">IF(D58="","",1)</f>
        <v/>
      </c>
      <c r="J58" s="8"/>
      <c r="K58" s="8" t="str">
        <f aca="false">IF(AA58="","",AA58/1000)</f>
        <v/>
      </c>
      <c r="L58" s="9"/>
      <c r="M58" s="9"/>
      <c r="N58" s="8"/>
      <c r="O58" s="9"/>
      <c r="P58" s="9"/>
      <c r="Q58" s="9"/>
      <c r="R58" s="9"/>
      <c r="S58" s="9"/>
      <c r="T58" s="9"/>
      <c r="U58" s="9"/>
      <c r="V58" s="9"/>
      <c r="W58" s="9"/>
      <c r="X58" s="9"/>
      <c r="Y58" s="9"/>
      <c r="Z58" s="9"/>
      <c r="AA58" s="9"/>
      <c r="AB58" s="9"/>
      <c r="AC58" s="9"/>
      <c r="AD58" s="9"/>
      <c r="AE58" s="9"/>
      <c r="AF58" s="9"/>
    </row>
    <row r="59" customFormat="false" ht="15" hidden="false" customHeight="false" outlineLevel="0" collapsed="false">
      <c r="A59" s="8"/>
      <c r="B59" s="8" t="str">
        <f aca="false">IF(D59="","",Y59)</f>
        <v/>
      </c>
      <c r="C59" s="8" t="str">
        <f aca="false">IF(D59="","",Y59&amp;"_"&amp;D59)</f>
        <v/>
      </c>
      <c r="D59" s="9"/>
      <c r="E59" s="8" t="str">
        <f aca="false">IF(D59="","",TRIM(D59&amp;" "&amp;Y59&amp;" "&amp;Z59&amp;" "&amp;IF(AA59="","",TEXT(AA59,"0.00")&amp;"g")&amp;" "&amp;AB59&amp;" "&amp;AF59&amp;IF(AC59="",""," Sz# "&amp;AC59)&amp;IF(AD59="Preloved"," [Preloved]","")))</f>
        <v/>
      </c>
      <c r="F59" s="8"/>
      <c r="G59" s="10"/>
      <c r="H59" s="10"/>
      <c r="I59" s="8" t="str">
        <f aca="false">IF(D59="","",1)</f>
        <v/>
      </c>
      <c r="J59" s="8"/>
      <c r="K59" s="8" t="str">
        <f aca="false">IF(AA59="","",AA59/1000)</f>
        <v/>
      </c>
      <c r="L59" s="9"/>
      <c r="M59" s="9"/>
      <c r="N59" s="8"/>
      <c r="O59" s="9"/>
      <c r="P59" s="9"/>
      <c r="Q59" s="9"/>
      <c r="R59" s="9"/>
      <c r="S59" s="9"/>
      <c r="T59" s="9"/>
      <c r="U59" s="9"/>
      <c r="V59" s="9"/>
      <c r="W59" s="9"/>
      <c r="X59" s="9"/>
      <c r="Y59" s="9"/>
      <c r="Z59" s="9"/>
      <c r="AA59" s="9"/>
      <c r="AB59" s="9"/>
      <c r="AC59" s="9"/>
      <c r="AD59" s="9"/>
      <c r="AE59" s="9"/>
      <c r="AF59" s="9"/>
    </row>
    <row r="60" customFormat="false" ht="15" hidden="false" customHeight="false" outlineLevel="0" collapsed="false">
      <c r="A60" s="8"/>
      <c r="B60" s="8" t="str">
        <f aca="false">IF(D60="","",Y60)</f>
        <v/>
      </c>
      <c r="C60" s="8" t="str">
        <f aca="false">IF(D60="","",Y60&amp;"_"&amp;D60)</f>
        <v/>
      </c>
      <c r="D60" s="9"/>
      <c r="E60" s="8" t="str">
        <f aca="false">IF(D60="","",TRIM(D60&amp;" "&amp;Y60&amp;" "&amp;Z60&amp;" "&amp;IF(AA60="","",TEXT(AA60,"0.00")&amp;"g")&amp;" "&amp;AB60&amp;" "&amp;AF60&amp;IF(AC60="",""," Sz# "&amp;AC60)&amp;IF(AD60="Preloved"," [Preloved]","")))</f>
        <v/>
      </c>
      <c r="F60" s="8"/>
      <c r="G60" s="10"/>
      <c r="H60" s="10"/>
      <c r="I60" s="8" t="str">
        <f aca="false">IF(D60="","",1)</f>
        <v/>
      </c>
      <c r="J60" s="8"/>
      <c r="K60" s="8" t="str">
        <f aca="false">IF(AA60="","",AA60/1000)</f>
        <v/>
      </c>
      <c r="L60" s="9"/>
      <c r="M60" s="9"/>
      <c r="N60" s="8"/>
      <c r="O60" s="9"/>
      <c r="P60" s="9"/>
      <c r="Q60" s="9"/>
      <c r="R60" s="9"/>
      <c r="S60" s="9"/>
      <c r="T60" s="9"/>
      <c r="U60" s="9"/>
      <c r="V60" s="9"/>
      <c r="W60" s="9"/>
      <c r="X60" s="9"/>
      <c r="Y60" s="9"/>
      <c r="Z60" s="9"/>
      <c r="AA60" s="9"/>
      <c r="AB60" s="9"/>
      <c r="AC60" s="9"/>
      <c r="AD60" s="9"/>
      <c r="AE60" s="9"/>
      <c r="AF60" s="9"/>
    </row>
    <row r="61" customFormat="false" ht="15" hidden="false" customHeight="false" outlineLevel="0" collapsed="false">
      <c r="A61" s="8"/>
      <c r="B61" s="8" t="str">
        <f aca="false">IF(D61="","",Y61)</f>
        <v/>
      </c>
      <c r="C61" s="8" t="str">
        <f aca="false">IF(D61="","",Y61&amp;"_"&amp;D61)</f>
        <v/>
      </c>
      <c r="D61" s="9"/>
      <c r="E61" s="8" t="str">
        <f aca="false">IF(D61="","",TRIM(D61&amp;" "&amp;Y61&amp;" "&amp;Z61&amp;" "&amp;IF(AA61="","",TEXT(AA61,"0.00")&amp;"g")&amp;" "&amp;AB61&amp;" "&amp;AF61&amp;IF(AC61="",""," Sz# "&amp;AC61)&amp;IF(AD61="Preloved"," [Preloved]","")))</f>
        <v/>
      </c>
      <c r="F61" s="8"/>
      <c r="G61" s="10"/>
      <c r="H61" s="10"/>
      <c r="I61" s="8" t="str">
        <f aca="false">IF(D61="","",1)</f>
        <v/>
      </c>
      <c r="J61" s="8"/>
      <c r="K61" s="8" t="str">
        <f aca="false">IF(AA61="","",AA61/1000)</f>
        <v/>
      </c>
      <c r="L61" s="9"/>
      <c r="M61" s="9"/>
      <c r="N61" s="8"/>
      <c r="O61" s="9"/>
      <c r="P61" s="9"/>
      <c r="Q61" s="9"/>
      <c r="R61" s="9"/>
      <c r="S61" s="9"/>
      <c r="T61" s="9"/>
      <c r="U61" s="9"/>
      <c r="V61" s="9"/>
      <c r="W61" s="9"/>
      <c r="X61" s="9"/>
      <c r="Y61" s="9"/>
      <c r="Z61" s="9"/>
      <c r="AA61" s="9"/>
      <c r="AB61" s="9"/>
      <c r="AC61" s="9"/>
      <c r="AD61" s="9"/>
      <c r="AE61" s="9"/>
      <c r="AF61" s="9"/>
    </row>
    <row r="62" customFormat="false" ht="15" hidden="false" customHeight="false" outlineLevel="0" collapsed="false">
      <c r="A62" s="8"/>
      <c r="B62" s="8" t="str">
        <f aca="false">IF(D62="","",Y62)</f>
        <v/>
      </c>
      <c r="C62" s="8" t="str">
        <f aca="false">IF(D62="","",Y62&amp;"_"&amp;D62)</f>
        <v/>
      </c>
      <c r="D62" s="9"/>
      <c r="E62" s="8" t="str">
        <f aca="false">IF(D62="","",TRIM(D62&amp;" "&amp;Y62&amp;" "&amp;Z62&amp;" "&amp;IF(AA62="","",TEXT(AA62,"0.00")&amp;"g")&amp;" "&amp;AB62&amp;" "&amp;AF62&amp;IF(AC62="",""," Sz# "&amp;AC62)&amp;IF(AD62="Preloved"," [Preloved]","")))</f>
        <v/>
      </c>
      <c r="F62" s="8"/>
      <c r="G62" s="10"/>
      <c r="H62" s="10"/>
      <c r="I62" s="8" t="str">
        <f aca="false">IF(D62="","",1)</f>
        <v/>
      </c>
      <c r="J62" s="8"/>
      <c r="K62" s="8" t="str">
        <f aca="false">IF(AA62="","",AA62/1000)</f>
        <v/>
      </c>
      <c r="L62" s="9"/>
      <c r="M62" s="9"/>
      <c r="N62" s="8"/>
      <c r="O62" s="9"/>
      <c r="P62" s="9"/>
      <c r="Q62" s="9"/>
      <c r="R62" s="9"/>
      <c r="S62" s="9"/>
      <c r="T62" s="9"/>
      <c r="U62" s="9"/>
      <c r="V62" s="9"/>
      <c r="W62" s="9"/>
      <c r="X62" s="9"/>
      <c r="Y62" s="9"/>
      <c r="Z62" s="9"/>
      <c r="AA62" s="9"/>
      <c r="AB62" s="9"/>
      <c r="AC62" s="9"/>
      <c r="AD62" s="9"/>
      <c r="AE62" s="9"/>
      <c r="AF62" s="9"/>
    </row>
    <row r="63" customFormat="false" ht="15" hidden="false" customHeight="false" outlineLevel="0" collapsed="false">
      <c r="A63" s="8"/>
      <c r="B63" s="8" t="str">
        <f aca="false">IF(D63="","",Y63)</f>
        <v/>
      </c>
      <c r="C63" s="8" t="str">
        <f aca="false">IF(D63="","",Y63&amp;"_"&amp;D63)</f>
        <v/>
      </c>
      <c r="D63" s="9"/>
      <c r="E63" s="8" t="str">
        <f aca="false">IF(D63="","",TRIM(D63&amp;" "&amp;Y63&amp;" "&amp;Z63&amp;" "&amp;IF(AA63="","",TEXT(AA63,"0.00")&amp;"g")&amp;" "&amp;AB63&amp;" "&amp;AF63&amp;IF(AC63="",""," Sz# "&amp;AC63)&amp;IF(AD63="Preloved"," [Preloved]","")))</f>
        <v/>
      </c>
      <c r="F63" s="8"/>
      <c r="G63" s="10"/>
      <c r="H63" s="10"/>
      <c r="I63" s="8" t="str">
        <f aca="false">IF(D63="","",1)</f>
        <v/>
      </c>
      <c r="J63" s="8"/>
      <c r="K63" s="8" t="str">
        <f aca="false">IF(AA63="","",AA63/1000)</f>
        <v/>
      </c>
      <c r="L63" s="9"/>
      <c r="M63" s="9"/>
      <c r="N63" s="8"/>
      <c r="O63" s="9"/>
      <c r="P63" s="9"/>
      <c r="Q63" s="9"/>
      <c r="R63" s="9"/>
      <c r="S63" s="9"/>
      <c r="T63" s="9"/>
      <c r="U63" s="9"/>
      <c r="V63" s="9"/>
      <c r="W63" s="9"/>
      <c r="X63" s="9"/>
      <c r="Y63" s="9"/>
      <c r="Z63" s="9"/>
      <c r="AA63" s="9"/>
      <c r="AB63" s="9"/>
      <c r="AC63" s="9"/>
      <c r="AD63" s="9"/>
      <c r="AE63" s="9"/>
      <c r="AF63" s="9"/>
    </row>
    <row r="64" customFormat="false" ht="15" hidden="false" customHeight="false" outlineLevel="0" collapsed="false">
      <c r="A64" s="8"/>
      <c r="B64" s="8" t="str">
        <f aca="false">IF(D64="","",Y64)</f>
        <v/>
      </c>
      <c r="C64" s="8" t="str">
        <f aca="false">IF(D64="","",Y64&amp;"_"&amp;D64)</f>
        <v/>
      </c>
      <c r="D64" s="9"/>
      <c r="E64" s="8" t="str">
        <f aca="false">IF(D64="","",TRIM(D64&amp;" "&amp;Y64&amp;" "&amp;Z64&amp;" "&amp;IF(AA64="","",TEXT(AA64,"0.00")&amp;"g")&amp;" "&amp;AB64&amp;" "&amp;AF64&amp;IF(AC64="",""," Sz# "&amp;AC64)&amp;IF(AD64="Preloved"," [Preloved]","")))</f>
        <v/>
      </c>
      <c r="F64" s="8"/>
      <c r="G64" s="10"/>
      <c r="H64" s="10"/>
      <c r="I64" s="8" t="str">
        <f aca="false">IF(D64="","",1)</f>
        <v/>
      </c>
      <c r="J64" s="8"/>
      <c r="K64" s="8" t="str">
        <f aca="false">IF(AA64="","",AA64/1000)</f>
        <v/>
      </c>
      <c r="L64" s="9"/>
      <c r="M64" s="9"/>
      <c r="N64" s="8"/>
      <c r="O64" s="9"/>
      <c r="P64" s="9"/>
      <c r="Q64" s="9"/>
      <c r="R64" s="9"/>
      <c r="S64" s="9"/>
      <c r="T64" s="9"/>
      <c r="U64" s="9"/>
      <c r="V64" s="9"/>
      <c r="W64" s="9"/>
      <c r="X64" s="9"/>
      <c r="Y64" s="9"/>
      <c r="Z64" s="9"/>
      <c r="AA64" s="9"/>
      <c r="AB64" s="9"/>
      <c r="AC64" s="9"/>
      <c r="AD64" s="9"/>
      <c r="AE64" s="9"/>
      <c r="AF64" s="9"/>
    </row>
    <row r="65" customFormat="false" ht="15" hidden="false" customHeight="false" outlineLevel="0" collapsed="false">
      <c r="A65" s="8"/>
      <c r="B65" s="8" t="str">
        <f aca="false">IF(D65="","",Y65)</f>
        <v/>
      </c>
      <c r="C65" s="8" t="str">
        <f aca="false">IF(D65="","",Y65&amp;"_"&amp;D65)</f>
        <v/>
      </c>
      <c r="D65" s="9"/>
      <c r="E65" s="8" t="str">
        <f aca="false">IF(D65="","",TRIM(D65&amp;" "&amp;Y65&amp;" "&amp;Z65&amp;" "&amp;IF(AA65="","",TEXT(AA65,"0.00")&amp;"g")&amp;" "&amp;AB65&amp;" "&amp;AF65&amp;IF(AC65="",""," Sz# "&amp;AC65)&amp;IF(AD65="Preloved"," [Preloved]","")))</f>
        <v/>
      </c>
      <c r="F65" s="8"/>
      <c r="G65" s="10"/>
      <c r="H65" s="10"/>
      <c r="I65" s="8" t="str">
        <f aca="false">IF(D65="","",1)</f>
        <v/>
      </c>
      <c r="J65" s="8"/>
      <c r="K65" s="8" t="str">
        <f aca="false">IF(AA65="","",AA65/1000)</f>
        <v/>
      </c>
      <c r="L65" s="9"/>
      <c r="M65" s="9"/>
      <c r="N65" s="8"/>
      <c r="O65" s="9"/>
      <c r="P65" s="9"/>
      <c r="Q65" s="9"/>
      <c r="R65" s="9"/>
      <c r="S65" s="9"/>
      <c r="T65" s="9"/>
      <c r="U65" s="9"/>
      <c r="V65" s="9"/>
      <c r="W65" s="9"/>
      <c r="X65" s="9"/>
      <c r="Y65" s="9"/>
      <c r="Z65" s="9"/>
      <c r="AA65" s="9"/>
      <c r="AB65" s="9"/>
      <c r="AC65" s="9"/>
      <c r="AD65" s="9"/>
      <c r="AE65" s="9"/>
      <c r="AF65" s="9"/>
    </row>
    <row r="66" customFormat="false" ht="15" hidden="false" customHeight="false" outlineLevel="0" collapsed="false">
      <c r="A66" s="8"/>
      <c r="B66" s="8" t="str">
        <f aca="false">IF(D66="","",Y66)</f>
        <v/>
      </c>
      <c r="C66" s="8" t="str">
        <f aca="false">IF(D66="","",Y66&amp;"_"&amp;D66)</f>
        <v/>
      </c>
      <c r="D66" s="9"/>
      <c r="E66" s="8" t="str">
        <f aca="false">IF(D66="","",TRIM(D66&amp;" "&amp;Y66&amp;" "&amp;Z66&amp;" "&amp;IF(AA66="","",TEXT(AA66,"0.00")&amp;"g")&amp;" "&amp;AB66&amp;" "&amp;AF66&amp;IF(AC66="",""," Sz# "&amp;AC66)&amp;IF(AD66="Preloved"," [Preloved]","")))</f>
        <v/>
      </c>
      <c r="F66" s="8"/>
      <c r="G66" s="10"/>
      <c r="H66" s="10"/>
      <c r="I66" s="8" t="str">
        <f aca="false">IF(D66="","",1)</f>
        <v/>
      </c>
      <c r="J66" s="8"/>
      <c r="K66" s="8" t="str">
        <f aca="false">IF(AA66="","",AA66/1000)</f>
        <v/>
      </c>
      <c r="L66" s="9"/>
      <c r="M66" s="9"/>
      <c r="N66" s="8"/>
      <c r="O66" s="9"/>
      <c r="P66" s="9"/>
      <c r="Q66" s="9"/>
      <c r="R66" s="9"/>
      <c r="S66" s="9"/>
      <c r="T66" s="9"/>
      <c r="U66" s="9"/>
      <c r="V66" s="9"/>
      <c r="W66" s="9"/>
      <c r="X66" s="9"/>
      <c r="Y66" s="9"/>
      <c r="Z66" s="9"/>
      <c r="AA66" s="9"/>
      <c r="AB66" s="9"/>
      <c r="AC66" s="9"/>
      <c r="AD66" s="9"/>
      <c r="AE66" s="9"/>
      <c r="AF66" s="9"/>
    </row>
    <row r="67" customFormat="false" ht="15" hidden="false" customHeight="false" outlineLevel="0" collapsed="false">
      <c r="A67" s="8"/>
      <c r="B67" s="8" t="str">
        <f aca="false">IF(D67="","",Y67)</f>
        <v/>
      </c>
      <c r="C67" s="8" t="str">
        <f aca="false">IF(D67="","",Y67&amp;"_"&amp;D67)</f>
        <v/>
      </c>
      <c r="D67" s="9"/>
      <c r="E67" s="8" t="str">
        <f aca="false">IF(D67="","",TRIM(D67&amp;" "&amp;Y67&amp;" "&amp;Z67&amp;" "&amp;IF(AA67="","",TEXT(AA67,"0.00")&amp;"g")&amp;" "&amp;AB67&amp;" "&amp;AF67&amp;IF(AC67="",""," Sz# "&amp;AC67)&amp;IF(AD67="Preloved"," [Preloved]","")))</f>
        <v/>
      </c>
      <c r="F67" s="8"/>
      <c r="G67" s="10"/>
      <c r="H67" s="10"/>
      <c r="I67" s="8" t="str">
        <f aca="false">IF(D67="","",1)</f>
        <v/>
      </c>
      <c r="J67" s="8"/>
      <c r="K67" s="8" t="str">
        <f aca="false">IF(AA67="","",AA67/1000)</f>
        <v/>
      </c>
      <c r="L67" s="9"/>
      <c r="M67" s="9"/>
      <c r="N67" s="8"/>
      <c r="O67" s="9"/>
      <c r="P67" s="9"/>
      <c r="Q67" s="9"/>
      <c r="R67" s="9"/>
      <c r="S67" s="9"/>
      <c r="T67" s="9"/>
      <c r="U67" s="9"/>
      <c r="V67" s="9"/>
      <c r="W67" s="9"/>
      <c r="X67" s="9"/>
      <c r="Y67" s="9"/>
      <c r="Z67" s="9"/>
      <c r="AA67" s="9"/>
      <c r="AB67" s="9"/>
      <c r="AC67" s="9"/>
      <c r="AD67" s="9"/>
      <c r="AE67" s="9"/>
      <c r="AF67" s="9"/>
    </row>
    <row r="68" customFormat="false" ht="15" hidden="false" customHeight="false" outlineLevel="0" collapsed="false">
      <c r="A68" s="8"/>
      <c r="B68" s="8" t="str">
        <f aca="false">IF(D68="","",Y68)</f>
        <v/>
      </c>
      <c r="C68" s="8" t="str">
        <f aca="false">IF(D68="","",Y68&amp;"_"&amp;D68)</f>
        <v/>
      </c>
      <c r="D68" s="9"/>
      <c r="E68" s="8" t="str">
        <f aca="false">IF(D68="","",TRIM(D68&amp;" "&amp;Y68&amp;" "&amp;Z68&amp;" "&amp;IF(AA68="","",TEXT(AA68,"0.00")&amp;"g")&amp;" "&amp;AB68&amp;" "&amp;AF68&amp;IF(AC68="",""," Sz# "&amp;AC68)&amp;IF(AD68="Preloved"," [Preloved]","")))</f>
        <v/>
      </c>
      <c r="F68" s="8"/>
      <c r="G68" s="10"/>
      <c r="H68" s="10"/>
      <c r="I68" s="8" t="str">
        <f aca="false">IF(D68="","",1)</f>
        <v/>
      </c>
      <c r="J68" s="8"/>
      <c r="K68" s="8" t="str">
        <f aca="false">IF(AA68="","",AA68/1000)</f>
        <v/>
      </c>
      <c r="L68" s="9"/>
      <c r="M68" s="9"/>
      <c r="N68" s="8"/>
      <c r="O68" s="9"/>
      <c r="P68" s="9"/>
      <c r="Q68" s="9"/>
      <c r="R68" s="9"/>
      <c r="S68" s="9"/>
      <c r="T68" s="9"/>
      <c r="U68" s="9"/>
      <c r="V68" s="9"/>
      <c r="W68" s="9"/>
      <c r="X68" s="9"/>
      <c r="Y68" s="9"/>
      <c r="Z68" s="9"/>
      <c r="AA68" s="9"/>
      <c r="AB68" s="9"/>
      <c r="AC68" s="9"/>
      <c r="AD68" s="9"/>
      <c r="AE68" s="9"/>
      <c r="AF68" s="9"/>
    </row>
    <row r="69" customFormat="false" ht="15" hidden="false" customHeight="false" outlineLevel="0" collapsed="false">
      <c r="A69" s="8"/>
      <c r="B69" s="8" t="str">
        <f aca="false">IF(D69="","",Y69)</f>
        <v/>
      </c>
      <c r="C69" s="8" t="str">
        <f aca="false">IF(D69="","",Y69&amp;"_"&amp;D69)</f>
        <v/>
      </c>
      <c r="D69" s="9"/>
      <c r="E69" s="8" t="str">
        <f aca="false">IF(D69="","",TRIM(D69&amp;" "&amp;Y69&amp;" "&amp;Z69&amp;" "&amp;IF(AA69="","",TEXT(AA69,"0.00")&amp;"g")&amp;" "&amp;AB69&amp;" "&amp;AF69&amp;IF(AC69="",""," Sz# "&amp;AC69)&amp;IF(AD69="Preloved"," [Preloved]","")))</f>
        <v/>
      </c>
      <c r="F69" s="8"/>
      <c r="G69" s="10"/>
      <c r="H69" s="10"/>
      <c r="I69" s="8" t="str">
        <f aca="false">IF(D69="","",1)</f>
        <v/>
      </c>
      <c r="J69" s="8"/>
      <c r="K69" s="8" t="str">
        <f aca="false">IF(AA69="","",AA69/1000)</f>
        <v/>
      </c>
      <c r="L69" s="9"/>
      <c r="M69" s="9"/>
      <c r="N69" s="8"/>
      <c r="O69" s="9"/>
      <c r="P69" s="9"/>
      <c r="Q69" s="9"/>
      <c r="R69" s="9"/>
      <c r="S69" s="9"/>
      <c r="T69" s="9"/>
      <c r="U69" s="9"/>
      <c r="V69" s="9"/>
      <c r="W69" s="9"/>
      <c r="X69" s="9"/>
      <c r="Y69" s="9"/>
      <c r="Z69" s="9"/>
      <c r="AA69" s="9"/>
      <c r="AB69" s="9"/>
      <c r="AC69" s="9"/>
      <c r="AD69" s="9"/>
      <c r="AE69" s="9"/>
      <c r="AF69" s="9"/>
    </row>
    <row r="70" customFormat="false" ht="15" hidden="false" customHeight="false" outlineLevel="0" collapsed="false">
      <c r="A70" s="8"/>
      <c r="B70" s="8" t="str">
        <f aca="false">IF(D70="","",Y70)</f>
        <v/>
      </c>
      <c r="C70" s="8" t="str">
        <f aca="false">IF(D70="","",Y70&amp;"_"&amp;D70)</f>
        <v/>
      </c>
      <c r="D70" s="9"/>
      <c r="E70" s="8" t="str">
        <f aca="false">IF(D70="","",TRIM(D70&amp;" "&amp;Y70&amp;" "&amp;Z70&amp;" "&amp;IF(AA70="","",TEXT(AA70,"0.00")&amp;"g")&amp;" "&amp;AB70&amp;" "&amp;AF70&amp;IF(AC70="",""," Sz# "&amp;AC70)&amp;IF(AD70="Preloved"," [Preloved]","")))</f>
        <v/>
      </c>
      <c r="F70" s="8"/>
      <c r="G70" s="10"/>
      <c r="H70" s="10"/>
      <c r="I70" s="8" t="str">
        <f aca="false">IF(D70="","",1)</f>
        <v/>
      </c>
      <c r="J70" s="8"/>
      <c r="K70" s="8" t="str">
        <f aca="false">IF(AA70="","",AA70/1000)</f>
        <v/>
      </c>
      <c r="L70" s="9"/>
      <c r="M70" s="9"/>
      <c r="N70" s="8"/>
      <c r="O70" s="9"/>
      <c r="P70" s="9"/>
      <c r="Q70" s="9"/>
      <c r="R70" s="9"/>
      <c r="S70" s="9"/>
      <c r="T70" s="9"/>
      <c r="U70" s="9"/>
      <c r="V70" s="9"/>
      <c r="W70" s="9"/>
      <c r="X70" s="9"/>
      <c r="Y70" s="9"/>
      <c r="Z70" s="9"/>
      <c r="AA70" s="9"/>
      <c r="AB70" s="9"/>
      <c r="AC70" s="9"/>
      <c r="AD70" s="9"/>
      <c r="AE70" s="9"/>
      <c r="AF70" s="9"/>
    </row>
    <row r="71" customFormat="false" ht="15" hidden="false" customHeight="false" outlineLevel="0" collapsed="false">
      <c r="A71" s="8"/>
      <c r="B71" s="8" t="str">
        <f aca="false">IF(D71="","",Y71)</f>
        <v/>
      </c>
      <c r="C71" s="8" t="str">
        <f aca="false">IF(D71="","",Y71&amp;"_"&amp;D71)</f>
        <v/>
      </c>
      <c r="D71" s="9"/>
      <c r="E71" s="8" t="str">
        <f aca="false">IF(D71="","",TRIM(D71&amp;" "&amp;Y71&amp;" "&amp;Z71&amp;" "&amp;IF(AA71="","",TEXT(AA71,"0.00")&amp;"g")&amp;" "&amp;AB71&amp;" "&amp;AF71&amp;IF(AC71="",""," Sz# "&amp;AC71)&amp;IF(AD71="Preloved"," [Preloved]","")))</f>
        <v/>
      </c>
      <c r="F71" s="8"/>
      <c r="G71" s="10"/>
      <c r="H71" s="10"/>
      <c r="I71" s="8" t="str">
        <f aca="false">IF(D71="","",1)</f>
        <v/>
      </c>
      <c r="J71" s="8"/>
      <c r="K71" s="8" t="str">
        <f aca="false">IF(AA71="","",AA71/1000)</f>
        <v/>
      </c>
      <c r="L71" s="9"/>
      <c r="M71" s="9"/>
      <c r="N71" s="8"/>
      <c r="O71" s="9"/>
      <c r="P71" s="9"/>
      <c r="Q71" s="9"/>
      <c r="R71" s="9"/>
      <c r="S71" s="9"/>
      <c r="T71" s="9"/>
      <c r="U71" s="9"/>
      <c r="V71" s="9"/>
      <c r="W71" s="9"/>
      <c r="X71" s="9"/>
      <c r="Y71" s="9"/>
      <c r="Z71" s="9"/>
      <c r="AA71" s="9"/>
      <c r="AB71" s="9"/>
      <c r="AC71" s="9"/>
      <c r="AD71" s="9"/>
      <c r="AE71" s="9"/>
      <c r="AF71" s="9"/>
    </row>
    <row r="72" customFormat="false" ht="15" hidden="false" customHeight="false" outlineLevel="0" collapsed="false">
      <c r="A72" s="8"/>
      <c r="B72" s="8" t="str">
        <f aca="false">IF(D72="","",Y72)</f>
        <v/>
      </c>
      <c r="C72" s="8" t="str">
        <f aca="false">IF(D72="","",Y72&amp;"_"&amp;D72)</f>
        <v/>
      </c>
      <c r="D72" s="9"/>
      <c r="E72" s="8" t="str">
        <f aca="false">IF(D72="","",TRIM(D72&amp;" "&amp;Y72&amp;" "&amp;Z72&amp;" "&amp;IF(AA72="","",TEXT(AA72,"0.00")&amp;"g")&amp;" "&amp;AB72&amp;" "&amp;AF72&amp;IF(AC72="",""," Sz# "&amp;AC72)&amp;IF(AD72="Preloved"," [Preloved]","")))</f>
        <v/>
      </c>
      <c r="F72" s="8"/>
      <c r="G72" s="10"/>
      <c r="H72" s="10"/>
      <c r="I72" s="8" t="str">
        <f aca="false">IF(D72="","",1)</f>
        <v/>
      </c>
      <c r="J72" s="8"/>
      <c r="K72" s="8" t="str">
        <f aca="false">IF(AA72="","",AA72/1000)</f>
        <v/>
      </c>
      <c r="L72" s="9"/>
      <c r="M72" s="9"/>
      <c r="N72" s="8"/>
      <c r="O72" s="9"/>
      <c r="P72" s="9"/>
      <c r="Q72" s="9"/>
      <c r="R72" s="9"/>
      <c r="S72" s="9"/>
      <c r="T72" s="9"/>
      <c r="U72" s="9"/>
      <c r="V72" s="9"/>
      <c r="W72" s="9"/>
      <c r="X72" s="9"/>
      <c r="Y72" s="9"/>
      <c r="Z72" s="9"/>
      <c r="AA72" s="9"/>
      <c r="AB72" s="9"/>
      <c r="AC72" s="9"/>
      <c r="AD72" s="9"/>
      <c r="AE72" s="9"/>
      <c r="AF72" s="9"/>
    </row>
    <row r="73" customFormat="false" ht="15" hidden="false" customHeight="false" outlineLevel="0" collapsed="false">
      <c r="A73" s="8"/>
      <c r="B73" s="8" t="str">
        <f aca="false">IF(D73="","",Y73)</f>
        <v/>
      </c>
      <c r="C73" s="8" t="str">
        <f aca="false">IF(D73="","",Y73&amp;"_"&amp;D73)</f>
        <v/>
      </c>
      <c r="D73" s="9"/>
      <c r="E73" s="8" t="str">
        <f aca="false">IF(D73="","",TRIM(D73&amp;" "&amp;Y73&amp;" "&amp;Z73&amp;" "&amp;IF(AA73="","",TEXT(AA73,"0.00")&amp;"g")&amp;" "&amp;AB73&amp;" "&amp;AF73&amp;IF(AC73="",""," Sz# "&amp;AC73)&amp;IF(AD73="Preloved"," [Preloved]","")))</f>
        <v/>
      </c>
      <c r="F73" s="8"/>
      <c r="G73" s="10"/>
      <c r="H73" s="10"/>
      <c r="I73" s="8" t="str">
        <f aca="false">IF(D73="","",1)</f>
        <v/>
      </c>
      <c r="J73" s="8"/>
      <c r="K73" s="8" t="str">
        <f aca="false">IF(AA73="","",AA73/1000)</f>
        <v/>
      </c>
      <c r="L73" s="9"/>
      <c r="M73" s="9"/>
      <c r="N73" s="8"/>
      <c r="O73" s="9"/>
      <c r="P73" s="9"/>
      <c r="Q73" s="9"/>
      <c r="R73" s="9"/>
      <c r="S73" s="9"/>
      <c r="T73" s="9"/>
      <c r="U73" s="9"/>
      <c r="V73" s="9"/>
      <c r="W73" s="9"/>
      <c r="X73" s="9"/>
      <c r="Y73" s="9"/>
      <c r="Z73" s="9"/>
      <c r="AA73" s="9"/>
      <c r="AB73" s="9"/>
      <c r="AC73" s="9"/>
      <c r="AD73" s="9"/>
      <c r="AE73" s="9"/>
      <c r="AF73" s="9"/>
    </row>
    <row r="74" customFormat="false" ht="15" hidden="false" customHeight="false" outlineLevel="0" collapsed="false">
      <c r="A74" s="8"/>
      <c r="B74" s="8" t="str">
        <f aca="false">IF(D74="","",Y74)</f>
        <v/>
      </c>
      <c r="C74" s="8" t="str">
        <f aca="false">IF(D74="","",Y74&amp;"_"&amp;D74)</f>
        <v/>
      </c>
      <c r="D74" s="9"/>
      <c r="E74" s="8" t="str">
        <f aca="false">IF(D74="","",TRIM(D74&amp;" "&amp;Y74&amp;" "&amp;Z74&amp;" "&amp;IF(AA74="","",TEXT(AA74,"0.00")&amp;"g")&amp;" "&amp;AB74&amp;" "&amp;AF74&amp;IF(AC74="",""," Sz# "&amp;AC74)&amp;IF(AD74="Preloved"," [Preloved]","")))</f>
        <v/>
      </c>
      <c r="F74" s="8"/>
      <c r="G74" s="10"/>
      <c r="H74" s="10"/>
      <c r="I74" s="8" t="str">
        <f aca="false">IF(D74="","",1)</f>
        <v/>
      </c>
      <c r="J74" s="8"/>
      <c r="K74" s="8" t="str">
        <f aca="false">IF(AA74="","",AA74/1000)</f>
        <v/>
      </c>
      <c r="L74" s="9"/>
      <c r="M74" s="9"/>
      <c r="N74" s="8"/>
      <c r="O74" s="9"/>
      <c r="P74" s="9"/>
      <c r="Q74" s="9"/>
      <c r="R74" s="9"/>
      <c r="S74" s="9"/>
      <c r="T74" s="9"/>
      <c r="U74" s="9"/>
      <c r="V74" s="9"/>
      <c r="W74" s="9"/>
      <c r="X74" s="9"/>
      <c r="Y74" s="9"/>
      <c r="Z74" s="9"/>
      <c r="AA74" s="9"/>
      <c r="AB74" s="9"/>
      <c r="AC74" s="9"/>
      <c r="AD74" s="9"/>
      <c r="AE74" s="9"/>
      <c r="AF74" s="9"/>
    </row>
    <row r="75" customFormat="false" ht="15" hidden="false" customHeight="false" outlineLevel="0" collapsed="false">
      <c r="A75" s="8"/>
      <c r="B75" s="8" t="str">
        <f aca="false">IF(D75="","",Y75)</f>
        <v/>
      </c>
      <c r="C75" s="8" t="str">
        <f aca="false">IF(D75="","",Y75&amp;"_"&amp;D75)</f>
        <v/>
      </c>
      <c r="D75" s="9"/>
      <c r="E75" s="8" t="str">
        <f aca="false">IF(D75="","",TRIM(D75&amp;" "&amp;Y75&amp;" "&amp;Z75&amp;" "&amp;IF(AA75="","",TEXT(AA75,"0.00")&amp;"g")&amp;" "&amp;AB75&amp;" "&amp;AF75&amp;IF(AC75="",""," Sz# "&amp;AC75)&amp;IF(AD75="Preloved"," [Preloved]","")))</f>
        <v/>
      </c>
      <c r="F75" s="8"/>
      <c r="G75" s="10"/>
      <c r="H75" s="10"/>
      <c r="I75" s="8" t="str">
        <f aca="false">IF(D75="","",1)</f>
        <v/>
      </c>
      <c r="J75" s="8"/>
      <c r="K75" s="8" t="str">
        <f aca="false">IF(AA75="","",AA75/1000)</f>
        <v/>
      </c>
      <c r="L75" s="9"/>
      <c r="M75" s="9"/>
      <c r="N75" s="8"/>
      <c r="O75" s="9"/>
      <c r="P75" s="9"/>
      <c r="Q75" s="9"/>
      <c r="R75" s="9"/>
      <c r="S75" s="9"/>
      <c r="T75" s="9"/>
      <c r="U75" s="9"/>
      <c r="V75" s="9"/>
      <c r="W75" s="9"/>
      <c r="X75" s="9"/>
      <c r="Y75" s="9"/>
      <c r="Z75" s="9"/>
      <c r="AA75" s="9"/>
      <c r="AB75" s="9"/>
      <c r="AC75" s="9"/>
      <c r="AD75" s="9"/>
      <c r="AE75" s="9"/>
      <c r="AF75" s="9"/>
    </row>
    <row r="76" customFormat="false" ht="15" hidden="false" customHeight="false" outlineLevel="0" collapsed="false">
      <c r="A76" s="8"/>
      <c r="B76" s="8" t="str">
        <f aca="false">IF(D76="","",Y76)</f>
        <v/>
      </c>
      <c r="C76" s="8" t="str">
        <f aca="false">IF(D76="","",Y76&amp;"_"&amp;D76)</f>
        <v/>
      </c>
      <c r="D76" s="9"/>
      <c r="E76" s="8" t="str">
        <f aca="false">IF(D76="","",TRIM(D76&amp;" "&amp;Y76&amp;" "&amp;Z76&amp;" "&amp;IF(AA76="","",TEXT(AA76,"0.00")&amp;"g")&amp;" "&amp;AB76&amp;" "&amp;AF76&amp;IF(AC76="",""," Sz# "&amp;AC76)&amp;IF(AD76="Preloved"," [Preloved]","")))</f>
        <v/>
      </c>
      <c r="F76" s="8"/>
      <c r="G76" s="10"/>
      <c r="H76" s="10"/>
      <c r="I76" s="8" t="str">
        <f aca="false">IF(D76="","",1)</f>
        <v/>
      </c>
      <c r="J76" s="8"/>
      <c r="K76" s="8" t="str">
        <f aca="false">IF(AA76="","",AA76/1000)</f>
        <v/>
      </c>
      <c r="L76" s="9"/>
      <c r="M76" s="9"/>
      <c r="N76" s="8"/>
      <c r="O76" s="9"/>
      <c r="P76" s="9"/>
      <c r="Q76" s="9"/>
      <c r="R76" s="9"/>
      <c r="S76" s="9"/>
      <c r="T76" s="9"/>
      <c r="U76" s="9"/>
      <c r="V76" s="9"/>
      <c r="W76" s="9"/>
      <c r="X76" s="9"/>
      <c r="Y76" s="9"/>
      <c r="Z76" s="9"/>
      <c r="AA76" s="9"/>
      <c r="AB76" s="9"/>
      <c r="AC76" s="9"/>
      <c r="AD76" s="9"/>
      <c r="AE76" s="9"/>
      <c r="AF76" s="9"/>
    </row>
    <row r="77" customFormat="false" ht="15" hidden="false" customHeight="false" outlineLevel="0" collapsed="false">
      <c r="A77" s="8"/>
      <c r="B77" s="8" t="str">
        <f aca="false">IF(D77="","",Y77)</f>
        <v/>
      </c>
      <c r="C77" s="8" t="str">
        <f aca="false">IF(D77="","",Y77&amp;"_"&amp;D77)</f>
        <v/>
      </c>
      <c r="D77" s="9"/>
      <c r="E77" s="8" t="str">
        <f aca="false">IF(D77="","",TRIM(D77&amp;" "&amp;Y77&amp;" "&amp;Z77&amp;" "&amp;IF(AA77="","",TEXT(AA77,"0.00")&amp;"g")&amp;" "&amp;AB77&amp;" "&amp;AF77&amp;IF(AC77="",""," Sz# "&amp;AC77)&amp;IF(AD77="Preloved"," [Preloved]","")))</f>
        <v/>
      </c>
      <c r="F77" s="8"/>
      <c r="G77" s="10"/>
      <c r="H77" s="10"/>
      <c r="I77" s="8" t="str">
        <f aca="false">IF(D77="","",1)</f>
        <v/>
      </c>
      <c r="J77" s="8"/>
      <c r="K77" s="8" t="str">
        <f aca="false">IF(AA77="","",AA77/1000)</f>
        <v/>
      </c>
      <c r="L77" s="9"/>
      <c r="M77" s="9"/>
      <c r="N77" s="8"/>
      <c r="O77" s="9"/>
      <c r="P77" s="9"/>
      <c r="Q77" s="9"/>
      <c r="R77" s="9"/>
      <c r="S77" s="9"/>
      <c r="T77" s="9"/>
      <c r="U77" s="9"/>
      <c r="V77" s="9"/>
      <c r="W77" s="9"/>
      <c r="X77" s="9"/>
      <c r="Y77" s="9"/>
      <c r="Z77" s="9"/>
      <c r="AA77" s="9"/>
      <c r="AB77" s="9"/>
      <c r="AC77" s="9"/>
      <c r="AD77" s="9"/>
      <c r="AE77" s="9"/>
      <c r="AF77" s="9"/>
    </row>
    <row r="78" customFormat="false" ht="15" hidden="false" customHeight="false" outlineLevel="0" collapsed="false">
      <c r="A78" s="8"/>
      <c r="B78" s="8" t="str">
        <f aca="false">IF(D78="","",Y78)</f>
        <v/>
      </c>
      <c r="C78" s="8" t="str">
        <f aca="false">IF(D78="","",Y78&amp;"_"&amp;D78)</f>
        <v/>
      </c>
      <c r="D78" s="9"/>
      <c r="E78" s="8" t="str">
        <f aca="false">IF(D78="","",TRIM(D78&amp;" "&amp;Y78&amp;" "&amp;Z78&amp;" "&amp;IF(AA78="","",TEXT(AA78,"0.00")&amp;"g")&amp;" "&amp;AB78&amp;" "&amp;AF78&amp;IF(AC78="",""," Sz# "&amp;AC78)&amp;IF(AD78="Preloved"," [Preloved]","")))</f>
        <v/>
      </c>
      <c r="F78" s="8"/>
      <c r="G78" s="10"/>
      <c r="H78" s="10"/>
      <c r="I78" s="8" t="str">
        <f aca="false">IF(D78="","",1)</f>
        <v/>
      </c>
      <c r="J78" s="8"/>
      <c r="K78" s="8" t="str">
        <f aca="false">IF(AA78="","",AA78/1000)</f>
        <v/>
      </c>
      <c r="L78" s="9"/>
      <c r="M78" s="9"/>
      <c r="N78" s="8"/>
      <c r="O78" s="9"/>
      <c r="P78" s="9"/>
      <c r="Q78" s="9"/>
      <c r="R78" s="9"/>
      <c r="S78" s="9"/>
      <c r="T78" s="9"/>
      <c r="U78" s="9"/>
      <c r="V78" s="9"/>
      <c r="W78" s="9"/>
      <c r="X78" s="9"/>
      <c r="Y78" s="9"/>
      <c r="Z78" s="9"/>
      <c r="AA78" s="9"/>
      <c r="AB78" s="9"/>
      <c r="AC78" s="9"/>
      <c r="AD78" s="9"/>
      <c r="AE78" s="9"/>
      <c r="AF78" s="9"/>
    </row>
    <row r="79" customFormat="false" ht="15" hidden="false" customHeight="false" outlineLevel="0" collapsed="false">
      <c r="A79" s="8"/>
      <c r="B79" s="8" t="str">
        <f aca="false">IF(D79="","",Y79)</f>
        <v/>
      </c>
      <c r="C79" s="8" t="str">
        <f aca="false">IF(D79="","",Y79&amp;"_"&amp;D79)</f>
        <v/>
      </c>
      <c r="D79" s="9"/>
      <c r="E79" s="8" t="str">
        <f aca="false">IF(D79="","",TRIM(D79&amp;" "&amp;Y79&amp;" "&amp;Z79&amp;" "&amp;IF(AA79="","",TEXT(AA79,"0.00")&amp;"g")&amp;" "&amp;AB79&amp;" "&amp;AF79&amp;IF(AC79="",""," Sz# "&amp;AC79)&amp;IF(AD79="Preloved"," [Preloved]","")))</f>
        <v/>
      </c>
      <c r="F79" s="8"/>
      <c r="G79" s="10"/>
      <c r="H79" s="10"/>
      <c r="I79" s="8" t="str">
        <f aca="false">IF(D79="","",1)</f>
        <v/>
      </c>
      <c r="J79" s="8"/>
      <c r="K79" s="8" t="str">
        <f aca="false">IF(AA79="","",AA79/1000)</f>
        <v/>
      </c>
      <c r="L79" s="9"/>
      <c r="M79" s="9"/>
      <c r="N79" s="8"/>
      <c r="O79" s="9"/>
      <c r="P79" s="9"/>
      <c r="Q79" s="9"/>
      <c r="R79" s="9"/>
      <c r="S79" s="9"/>
      <c r="T79" s="9"/>
      <c r="U79" s="9"/>
      <c r="V79" s="9"/>
      <c r="W79" s="9"/>
      <c r="X79" s="9"/>
      <c r="Y79" s="9"/>
      <c r="Z79" s="9"/>
      <c r="AA79" s="9"/>
      <c r="AB79" s="9"/>
      <c r="AC79" s="9"/>
      <c r="AD79" s="9"/>
      <c r="AE79" s="9"/>
      <c r="AF79" s="9"/>
    </row>
    <row r="80" customFormat="false" ht="15" hidden="false" customHeight="false" outlineLevel="0" collapsed="false">
      <c r="A80" s="8"/>
      <c r="B80" s="8" t="str">
        <f aca="false">IF(D80="","",Y80)</f>
        <v/>
      </c>
      <c r="C80" s="8" t="str">
        <f aca="false">IF(D80="","",Y80&amp;"_"&amp;D80)</f>
        <v/>
      </c>
      <c r="D80" s="9"/>
      <c r="E80" s="8" t="str">
        <f aca="false">IF(D80="","",TRIM(D80&amp;" "&amp;Y80&amp;" "&amp;Z80&amp;" "&amp;IF(AA80="","",TEXT(AA80,"0.00")&amp;"g")&amp;" "&amp;AB80&amp;" "&amp;AF80&amp;IF(AC80="",""," Sz# "&amp;AC80)&amp;IF(AD80="Preloved"," [Preloved]","")))</f>
        <v/>
      </c>
      <c r="F80" s="8"/>
      <c r="G80" s="10"/>
      <c r="H80" s="10"/>
      <c r="I80" s="8" t="str">
        <f aca="false">IF(D80="","",1)</f>
        <v/>
      </c>
      <c r="J80" s="8"/>
      <c r="K80" s="8" t="str">
        <f aca="false">IF(AA80="","",AA80/1000)</f>
        <v/>
      </c>
      <c r="L80" s="9"/>
      <c r="M80" s="9"/>
      <c r="N80" s="8"/>
      <c r="O80" s="9"/>
      <c r="P80" s="9"/>
      <c r="Q80" s="9"/>
      <c r="R80" s="9"/>
      <c r="S80" s="9"/>
      <c r="T80" s="9"/>
      <c r="U80" s="9"/>
      <c r="V80" s="9"/>
      <c r="W80" s="9"/>
      <c r="X80" s="9"/>
      <c r="Y80" s="9"/>
      <c r="Z80" s="9"/>
      <c r="AA80" s="9"/>
      <c r="AB80" s="9"/>
      <c r="AC80" s="9"/>
      <c r="AD80" s="9"/>
      <c r="AE80" s="9"/>
      <c r="AF80" s="9"/>
    </row>
    <row r="81" customFormat="false" ht="15" hidden="false" customHeight="false" outlineLevel="0" collapsed="false">
      <c r="A81" s="8"/>
      <c r="B81" s="8" t="str">
        <f aca="false">IF(D81="","",Y81)</f>
        <v/>
      </c>
      <c r="C81" s="8" t="str">
        <f aca="false">IF(D81="","",Y81&amp;"_"&amp;D81)</f>
        <v/>
      </c>
      <c r="D81" s="9"/>
      <c r="E81" s="8" t="str">
        <f aca="false">IF(D81="","",TRIM(D81&amp;" "&amp;Y81&amp;" "&amp;Z81&amp;" "&amp;IF(AA81="","",TEXT(AA81,"0.00")&amp;"g")&amp;" "&amp;AB81&amp;" "&amp;AF81&amp;IF(AC81="",""," Sz# "&amp;AC81)&amp;IF(AD81="Preloved"," [Preloved]","")))</f>
        <v/>
      </c>
      <c r="F81" s="8"/>
      <c r="G81" s="10"/>
      <c r="H81" s="10"/>
      <c r="I81" s="8" t="str">
        <f aca="false">IF(D81="","",1)</f>
        <v/>
      </c>
      <c r="J81" s="8"/>
      <c r="K81" s="8" t="str">
        <f aca="false">IF(AA81="","",AA81/1000)</f>
        <v/>
      </c>
      <c r="L81" s="9"/>
      <c r="M81" s="9"/>
      <c r="N81" s="8"/>
      <c r="O81" s="9"/>
      <c r="P81" s="9"/>
      <c r="Q81" s="9"/>
      <c r="R81" s="9"/>
      <c r="S81" s="9"/>
      <c r="T81" s="9"/>
      <c r="U81" s="9"/>
      <c r="V81" s="9"/>
      <c r="W81" s="9"/>
      <c r="X81" s="9"/>
      <c r="Y81" s="9"/>
      <c r="Z81" s="9"/>
      <c r="AA81" s="9"/>
      <c r="AB81" s="9"/>
      <c r="AC81" s="9"/>
      <c r="AD81" s="9"/>
      <c r="AE81" s="9"/>
      <c r="AF81" s="9"/>
    </row>
    <row r="82" customFormat="false" ht="15" hidden="false" customHeight="false" outlineLevel="0" collapsed="false">
      <c r="A82" s="8"/>
      <c r="B82" s="8" t="str">
        <f aca="false">IF(D82="","",Y82)</f>
        <v/>
      </c>
      <c r="C82" s="8" t="str">
        <f aca="false">IF(D82="","",Y82&amp;"_"&amp;D82)</f>
        <v/>
      </c>
      <c r="D82" s="9"/>
      <c r="E82" s="8" t="str">
        <f aca="false">IF(D82="","",TRIM(D82&amp;" "&amp;Y82&amp;" "&amp;Z82&amp;" "&amp;IF(AA82="","",TEXT(AA82,"0.00")&amp;"g")&amp;" "&amp;AB82&amp;" "&amp;AF82&amp;IF(AC82="",""," Sz# "&amp;AC82)&amp;IF(AD82="Preloved"," [Preloved]","")))</f>
        <v/>
      </c>
      <c r="F82" s="8"/>
      <c r="G82" s="10"/>
      <c r="H82" s="10"/>
      <c r="I82" s="8" t="str">
        <f aca="false">IF(D82="","",1)</f>
        <v/>
      </c>
      <c r="J82" s="8"/>
      <c r="K82" s="8" t="str">
        <f aca="false">IF(AA82="","",AA82/1000)</f>
        <v/>
      </c>
      <c r="L82" s="9"/>
      <c r="M82" s="9"/>
      <c r="N82" s="8"/>
      <c r="O82" s="9"/>
      <c r="P82" s="9"/>
      <c r="Q82" s="9"/>
      <c r="R82" s="9"/>
      <c r="S82" s="9"/>
      <c r="T82" s="9"/>
      <c r="U82" s="9"/>
      <c r="V82" s="9"/>
      <c r="W82" s="9"/>
      <c r="X82" s="9"/>
      <c r="Y82" s="9"/>
      <c r="Z82" s="9"/>
      <c r="AA82" s="9"/>
      <c r="AB82" s="9"/>
      <c r="AC82" s="9"/>
      <c r="AD82" s="9"/>
      <c r="AE82" s="9"/>
      <c r="AF82" s="9"/>
    </row>
    <row r="83" customFormat="false" ht="15" hidden="false" customHeight="false" outlineLevel="0" collapsed="false">
      <c r="A83" s="8"/>
      <c r="B83" s="8" t="str">
        <f aca="false">IF(D83="","",Y83)</f>
        <v/>
      </c>
      <c r="C83" s="8" t="str">
        <f aca="false">IF(D83="","",Y83&amp;"_"&amp;D83)</f>
        <v/>
      </c>
      <c r="D83" s="9"/>
      <c r="E83" s="8" t="str">
        <f aca="false">IF(D83="","",TRIM(D83&amp;" "&amp;Y83&amp;" "&amp;Z83&amp;" "&amp;IF(AA83="","",TEXT(AA83,"0.00")&amp;"g")&amp;" "&amp;AB83&amp;" "&amp;AF83&amp;IF(AC83="",""," Sz# "&amp;AC83)&amp;IF(AD83="Preloved"," [Preloved]","")))</f>
        <v/>
      </c>
      <c r="F83" s="8"/>
      <c r="G83" s="10"/>
      <c r="H83" s="10"/>
      <c r="I83" s="8" t="str">
        <f aca="false">IF(D83="","",1)</f>
        <v/>
      </c>
      <c r="J83" s="8"/>
      <c r="K83" s="8" t="str">
        <f aca="false">IF(AA83="","",AA83/1000)</f>
        <v/>
      </c>
      <c r="L83" s="9"/>
      <c r="M83" s="9"/>
      <c r="N83" s="8"/>
      <c r="O83" s="9"/>
      <c r="P83" s="9"/>
      <c r="Q83" s="9"/>
      <c r="R83" s="9"/>
      <c r="S83" s="9"/>
      <c r="T83" s="9"/>
      <c r="U83" s="9"/>
      <c r="V83" s="9"/>
      <c r="W83" s="9"/>
      <c r="X83" s="9"/>
      <c r="Y83" s="9"/>
      <c r="Z83" s="9"/>
      <c r="AA83" s="9"/>
      <c r="AB83" s="9"/>
      <c r="AC83" s="9"/>
      <c r="AD83" s="9"/>
      <c r="AE83" s="9"/>
      <c r="AF83" s="9"/>
    </row>
    <row r="84" customFormat="false" ht="15" hidden="false" customHeight="false" outlineLevel="0" collapsed="false">
      <c r="A84" s="8"/>
      <c r="B84" s="8" t="str">
        <f aca="false">IF(D84="","",Y84)</f>
        <v/>
      </c>
      <c r="C84" s="8" t="str">
        <f aca="false">IF(D84="","",Y84&amp;"_"&amp;D84)</f>
        <v/>
      </c>
      <c r="D84" s="9"/>
      <c r="E84" s="8" t="str">
        <f aca="false">IF(D84="","",TRIM(D84&amp;" "&amp;Y84&amp;" "&amp;Z84&amp;" "&amp;IF(AA84="","",TEXT(AA84,"0.00")&amp;"g")&amp;" "&amp;AB84&amp;" "&amp;AF84&amp;IF(AC84="",""," Sz# "&amp;AC84)&amp;IF(AD84="Preloved"," [Preloved]","")))</f>
        <v/>
      </c>
      <c r="F84" s="8"/>
      <c r="G84" s="10"/>
      <c r="H84" s="10"/>
      <c r="I84" s="8" t="str">
        <f aca="false">IF(D84="","",1)</f>
        <v/>
      </c>
      <c r="J84" s="8"/>
      <c r="K84" s="8" t="str">
        <f aca="false">IF(AA84="","",AA84/1000)</f>
        <v/>
      </c>
      <c r="L84" s="9"/>
      <c r="M84" s="9"/>
      <c r="N84" s="8"/>
      <c r="O84" s="9"/>
      <c r="P84" s="9"/>
      <c r="Q84" s="9"/>
      <c r="R84" s="9"/>
      <c r="S84" s="9"/>
      <c r="T84" s="9"/>
      <c r="U84" s="9"/>
      <c r="V84" s="9"/>
      <c r="W84" s="9"/>
      <c r="X84" s="9"/>
      <c r="Y84" s="9"/>
      <c r="Z84" s="9"/>
      <c r="AA84" s="9"/>
      <c r="AB84" s="9"/>
      <c r="AC84" s="9"/>
      <c r="AD84" s="9"/>
      <c r="AE84" s="9"/>
      <c r="AF84" s="9"/>
    </row>
    <row r="85" customFormat="false" ht="15" hidden="false" customHeight="false" outlineLevel="0" collapsed="false">
      <c r="A85" s="8"/>
      <c r="B85" s="8" t="str">
        <f aca="false">IF(D85="","",Y85)</f>
        <v/>
      </c>
      <c r="C85" s="8" t="str">
        <f aca="false">IF(D85="","",Y85&amp;"_"&amp;D85)</f>
        <v/>
      </c>
      <c r="D85" s="9"/>
      <c r="E85" s="8" t="str">
        <f aca="false">IF(D85="","",TRIM(D85&amp;" "&amp;Y85&amp;" "&amp;Z85&amp;" "&amp;IF(AA85="","",TEXT(AA85,"0.00")&amp;"g")&amp;" "&amp;AB85&amp;" "&amp;AF85&amp;IF(AC85="",""," Sz# "&amp;AC85)&amp;IF(AD85="Preloved"," [Preloved]","")))</f>
        <v/>
      </c>
      <c r="F85" s="8"/>
      <c r="G85" s="10"/>
      <c r="H85" s="10"/>
      <c r="I85" s="8" t="str">
        <f aca="false">IF(D85="","",1)</f>
        <v/>
      </c>
      <c r="J85" s="8"/>
      <c r="K85" s="8" t="str">
        <f aca="false">IF(AA85="","",AA85/1000)</f>
        <v/>
      </c>
      <c r="L85" s="9"/>
      <c r="M85" s="9"/>
      <c r="N85" s="8"/>
      <c r="O85" s="9"/>
      <c r="P85" s="9"/>
      <c r="Q85" s="9"/>
      <c r="R85" s="9"/>
      <c r="S85" s="9"/>
      <c r="T85" s="9"/>
      <c r="U85" s="9"/>
      <c r="V85" s="9"/>
      <c r="W85" s="9"/>
      <c r="X85" s="9"/>
      <c r="Y85" s="9"/>
      <c r="Z85" s="9"/>
      <c r="AA85" s="9"/>
      <c r="AB85" s="9"/>
      <c r="AC85" s="9"/>
      <c r="AD85" s="9"/>
      <c r="AE85" s="9"/>
      <c r="AF85" s="9"/>
    </row>
    <row r="86" customFormat="false" ht="15" hidden="false" customHeight="false" outlineLevel="0" collapsed="false">
      <c r="A86" s="8"/>
      <c r="B86" s="8" t="str">
        <f aca="false">IF(D86="","",Y86)</f>
        <v/>
      </c>
      <c r="C86" s="8" t="str">
        <f aca="false">IF(D86="","",Y86&amp;"_"&amp;D86)</f>
        <v/>
      </c>
      <c r="D86" s="9"/>
      <c r="E86" s="8" t="str">
        <f aca="false">IF(D86="","",TRIM(D86&amp;" "&amp;Y86&amp;" "&amp;Z86&amp;" "&amp;IF(AA86="","",TEXT(AA86,"0.00")&amp;"g")&amp;" "&amp;AB86&amp;" "&amp;AF86&amp;IF(AC86="",""," Sz# "&amp;AC86)&amp;IF(AD86="Preloved"," [Preloved]","")))</f>
        <v/>
      </c>
      <c r="F86" s="8"/>
      <c r="G86" s="10"/>
      <c r="H86" s="10"/>
      <c r="I86" s="8" t="str">
        <f aca="false">IF(D86="","",1)</f>
        <v/>
      </c>
      <c r="J86" s="8"/>
      <c r="K86" s="8" t="str">
        <f aca="false">IF(AA86="","",AA86/1000)</f>
        <v/>
      </c>
      <c r="L86" s="9"/>
      <c r="M86" s="9"/>
      <c r="N86" s="8"/>
      <c r="O86" s="9"/>
      <c r="P86" s="9"/>
      <c r="Q86" s="9"/>
      <c r="R86" s="9"/>
      <c r="S86" s="9"/>
      <c r="T86" s="9"/>
      <c r="U86" s="9"/>
      <c r="V86" s="9"/>
      <c r="W86" s="9"/>
      <c r="X86" s="9"/>
      <c r="Y86" s="9"/>
      <c r="Z86" s="9"/>
      <c r="AA86" s="9"/>
      <c r="AB86" s="9"/>
      <c r="AC86" s="9"/>
      <c r="AD86" s="9"/>
      <c r="AE86" s="9"/>
      <c r="AF86" s="9"/>
    </row>
    <row r="87" customFormat="false" ht="15" hidden="false" customHeight="false" outlineLevel="0" collapsed="false">
      <c r="A87" s="8"/>
      <c r="B87" s="8" t="str">
        <f aca="false">IF(D87="","",Y87)</f>
        <v/>
      </c>
      <c r="C87" s="8" t="str">
        <f aca="false">IF(D87="","",Y87&amp;"_"&amp;D87)</f>
        <v/>
      </c>
      <c r="D87" s="9"/>
      <c r="E87" s="8" t="str">
        <f aca="false">IF(D87="","",TRIM(D87&amp;" "&amp;Y87&amp;" "&amp;Z87&amp;" "&amp;IF(AA87="","",TEXT(AA87,"0.00")&amp;"g")&amp;" "&amp;AB87&amp;" "&amp;AF87&amp;IF(AC87="",""," Sz# "&amp;AC87)&amp;IF(AD87="Preloved"," [Preloved]","")))</f>
        <v/>
      </c>
      <c r="F87" s="8"/>
      <c r="G87" s="10"/>
      <c r="H87" s="10"/>
      <c r="I87" s="8" t="str">
        <f aca="false">IF(D87="","",1)</f>
        <v/>
      </c>
      <c r="J87" s="8"/>
      <c r="K87" s="8" t="str">
        <f aca="false">IF(AA87="","",AA87/1000)</f>
        <v/>
      </c>
      <c r="L87" s="9"/>
      <c r="M87" s="9"/>
      <c r="N87" s="8"/>
      <c r="O87" s="9"/>
      <c r="P87" s="9"/>
      <c r="Q87" s="9"/>
      <c r="R87" s="9"/>
      <c r="S87" s="9"/>
      <c r="T87" s="9"/>
      <c r="U87" s="9"/>
      <c r="V87" s="9"/>
      <c r="W87" s="9"/>
      <c r="X87" s="9"/>
      <c r="Y87" s="9"/>
      <c r="Z87" s="9"/>
      <c r="AA87" s="9"/>
      <c r="AB87" s="9"/>
      <c r="AC87" s="9"/>
      <c r="AD87" s="9"/>
      <c r="AE87" s="9"/>
      <c r="AF87" s="9"/>
    </row>
    <row r="88" customFormat="false" ht="15" hidden="false" customHeight="false" outlineLevel="0" collapsed="false">
      <c r="A88" s="8"/>
      <c r="B88" s="8" t="str">
        <f aca="false">IF(D88="","",Y88)</f>
        <v/>
      </c>
      <c r="C88" s="8" t="str">
        <f aca="false">IF(D88="","",Y88&amp;"_"&amp;D88)</f>
        <v/>
      </c>
      <c r="D88" s="9"/>
      <c r="E88" s="8" t="str">
        <f aca="false">IF(D88="","",TRIM(D88&amp;" "&amp;Y88&amp;" "&amp;Z88&amp;" "&amp;IF(AA88="","",TEXT(AA88,"0.00")&amp;"g")&amp;" "&amp;AB88&amp;" "&amp;AF88&amp;IF(AC88="",""," Sz# "&amp;AC88)&amp;IF(AD88="Preloved"," [Preloved]","")))</f>
        <v/>
      </c>
      <c r="F88" s="8"/>
      <c r="G88" s="10"/>
      <c r="H88" s="10"/>
      <c r="I88" s="8" t="str">
        <f aca="false">IF(D88="","",1)</f>
        <v/>
      </c>
      <c r="J88" s="8"/>
      <c r="K88" s="8" t="str">
        <f aca="false">IF(AA88="","",AA88/1000)</f>
        <v/>
      </c>
      <c r="L88" s="9"/>
      <c r="M88" s="9"/>
      <c r="N88" s="8"/>
      <c r="O88" s="9"/>
      <c r="P88" s="9"/>
      <c r="Q88" s="9"/>
      <c r="R88" s="9"/>
      <c r="S88" s="9"/>
      <c r="T88" s="9"/>
      <c r="U88" s="9"/>
      <c r="V88" s="9"/>
      <c r="W88" s="9"/>
      <c r="X88" s="9"/>
      <c r="Y88" s="9"/>
      <c r="Z88" s="9"/>
      <c r="AA88" s="9"/>
      <c r="AB88" s="9"/>
      <c r="AC88" s="9"/>
      <c r="AD88" s="9"/>
      <c r="AE88" s="9"/>
      <c r="AF88" s="9"/>
    </row>
    <row r="89" customFormat="false" ht="15" hidden="false" customHeight="false" outlineLevel="0" collapsed="false">
      <c r="A89" s="8"/>
      <c r="B89" s="8" t="str">
        <f aca="false">IF(D89="","",Y89)</f>
        <v/>
      </c>
      <c r="C89" s="8" t="str">
        <f aca="false">IF(D89="","",Y89&amp;"_"&amp;D89)</f>
        <v/>
      </c>
      <c r="D89" s="9"/>
      <c r="E89" s="8" t="str">
        <f aca="false">IF(D89="","",TRIM(D89&amp;" "&amp;Y89&amp;" "&amp;Z89&amp;" "&amp;IF(AA89="","",TEXT(AA89,"0.00")&amp;"g")&amp;" "&amp;AB89&amp;" "&amp;AF89&amp;IF(AC89="",""," Sz# "&amp;AC89)&amp;IF(AD89="Preloved"," [Preloved]","")))</f>
        <v/>
      </c>
      <c r="F89" s="8"/>
      <c r="G89" s="10"/>
      <c r="H89" s="10"/>
      <c r="I89" s="8" t="str">
        <f aca="false">IF(D89="","",1)</f>
        <v/>
      </c>
      <c r="J89" s="8"/>
      <c r="K89" s="8" t="str">
        <f aca="false">IF(AA89="","",AA89/1000)</f>
        <v/>
      </c>
      <c r="L89" s="9"/>
      <c r="M89" s="9"/>
      <c r="N89" s="8"/>
      <c r="O89" s="9"/>
      <c r="P89" s="9"/>
      <c r="Q89" s="9"/>
      <c r="R89" s="9"/>
      <c r="S89" s="9"/>
      <c r="T89" s="9"/>
      <c r="U89" s="9"/>
      <c r="V89" s="9"/>
      <c r="W89" s="9"/>
      <c r="X89" s="9"/>
      <c r="Y89" s="9"/>
      <c r="Z89" s="9"/>
      <c r="AA89" s="9"/>
      <c r="AB89" s="9"/>
      <c r="AC89" s="9"/>
      <c r="AD89" s="9"/>
      <c r="AE89" s="9"/>
      <c r="AF89" s="9"/>
    </row>
    <row r="90" customFormat="false" ht="15" hidden="false" customHeight="false" outlineLevel="0" collapsed="false">
      <c r="A90" s="8"/>
      <c r="B90" s="8" t="str">
        <f aca="false">IF(D90="","",Y90)</f>
        <v/>
      </c>
      <c r="C90" s="8" t="str">
        <f aca="false">IF(D90="","",Y90&amp;"_"&amp;D90)</f>
        <v/>
      </c>
      <c r="D90" s="9"/>
      <c r="E90" s="8" t="str">
        <f aca="false">IF(D90="","",TRIM(D90&amp;" "&amp;Y90&amp;" "&amp;Z90&amp;" "&amp;IF(AA90="","",TEXT(AA90,"0.00")&amp;"g")&amp;" "&amp;AB90&amp;" "&amp;AF90&amp;IF(AC90="",""," Sz# "&amp;AC90)&amp;IF(AD90="Preloved"," [Preloved]","")))</f>
        <v/>
      </c>
      <c r="F90" s="8"/>
      <c r="G90" s="10"/>
      <c r="H90" s="10"/>
      <c r="I90" s="8" t="str">
        <f aca="false">IF(D90="","",1)</f>
        <v/>
      </c>
      <c r="J90" s="8"/>
      <c r="K90" s="8" t="str">
        <f aca="false">IF(AA90="","",AA90/1000)</f>
        <v/>
      </c>
      <c r="L90" s="9"/>
      <c r="M90" s="9"/>
      <c r="N90" s="8"/>
      <c r="O90" s="9"/>
      <c r="P90" s="9"/>
      <c r="Q90" s="9"/>
      <c r="R90" s="9"/>
      <c r="S90" s="9"/>
      <c r="T90" s="9"/>
      <c r="U90" s="9"/>
      <c r="V90" s="9"/>
      <c r="W90" s="9"/>
      <c r="X90" s="9"/>
      <c r="Y90" s="9"/>
      <c r="Z90" s="9"/>
      <c r="AA90" s="9"/>
      <c r="AB90" s="9"/>
      <c r="AC90" s="9"/>
      <c r="AD90" s="9"/>
      <c r="AE90" s="9"/>
      <c r="AF90" s="9"/>
    </row>
    <row r="91" customFormat="false" ht="15" hidden="false" customHeight="false" outlineLevel="0" collapsed="false">
      <c r="A91" s="8"/>
      <c r="B91" s="8" t="str">
        <f aca="false">IF(D91="","",Y91)</f>
        <v/>
      </c>
      <c r="C91" s="8" t="str">
        <f aca="false">IF(D91="","",Y91&amp;"_"&amp;D91)</f>
        <v/>
      </c>
      <c r="D91" s="9"/>
      <c r="E91" s="8" t="str">
        <f aca="false">IF(D91="","",TRIM(D91&amp;" "&amp;Y91&amp;" "&amp;Z91&amp;" "&amp;IF(AA91="","",TEXT(AA91,"0.00")&amp;"g")&amp;" "&amp;AB91&amp;" "&amp;AF91&amp;IF(AC91="",""," Sz# "&amp;AC91)&amp;IF(AD91="Preloved"," [Preloved]","")))</f>
        <v/>
      </c>
      <c r="F91" s="8"/>
      <c r="G91" s="10"/>
      <c r="H91" s="10"/>
      <c r="I91" s="8" t="str">
        <f aca="false">IF(D91="","",1)</f>
        <v/>
      </c>
      <c r="J91" s="8"/>
      <c r="K91" s="8" t="str">
        <f aca="false">IF(AA91="","",AA91/1000)</f>
        <v/>
      </c>
      <c r="L91" s="9"/>
      <c r="M91" s="9"/>
      <c r="N91" s="8"/>
      <c r="O91" s="9"/>
      <c r="P91" s="9"/>
      <c r="Q91" s="9"/>
      <c r="R91" s="9"/>
      <c r="S91" s="9"/>
      <c r="T91" s="9"/>
      <c r="U91" s="9"/>
      <c r="V91" s="9"/>
      <c r="W91" s="9"/>
      <c r="X91" s="9"/>
      <c r="Y91" s="9"/>
      <c r="Z91" s="9"/>
      <c r="AA91" s="9"/>
      <c r="AB91" s="9"/>
      <c r="AC91" s="9"/>
      <c r="AD91" s="9"/>
      <c r="AE91" s="9"/>
      <c r="AF91" s="9"/>
    </row>
    <row r="92" customFormat="false" ht="15" hidden="false" customHeight="false" outlineLevel="0" collapsed="false">
      <c r="A92" s="8"/>
      <c r="B92" s="8" t="str">
        <f aca="false">IF(D92="","",Y92)</f>
        <v/>
      </c>
      <c r="C92" s="8" t="str">
        <f aca="false">IF(D92="","",Y92&amp;"_"&amp;D92)</f>
        <v/>
      </c>
      <c r="D92" s="9"/>
      <c r="E92" s="8" t="str">
        <f aca="false">IF(D92="","",TRIM(D92&amp;" "&amp;Y92&amp;" "&amp;Z92&amp;" "&amp;IF(AA92="","",TEXT(AA92,"0.00")&amp;"g")&amp;" "&amp;AB92&amp;" "&amp;AF92&amp;IF(AC92="",""," Sz# "&amp;AC92)&amp;IF(AD92="Preloved"," [Preloved]","")))</f>
        <v/>
      </c>
      <c r="F92" s="8"/>
      <c r="G92" s="10"/>
      <c r="H92" s="10"/>
      <c r="I92" s="8" t="str">
        <f aca="false">IF(D92="","",1)</f>
        <v/>
      </c>
      <c r="J92" s="8"/>
      <c r="K92" s="8" t="str">
        <f aca="false">IF(AA92="","",AA92/1000)</f>
        <v/>
      </c>
      <c r="L92" s="9"/>
      <c r="M92" s="9"/>
      <c r="N92" s="8"/>
      <c r="O92" s="9"/>
      <c r="P92" s="9"/>
      <c r="Q92" s="9"/>
      <c r="R92" s="9"/>
      <c r="S92" s="9"/>
      <c r="T92" s="9"/>
      <c r="U92" s="9"/>
      <c r="V92" s="9"/>
      <c r="W92" s="9"/>
      <c r="X92" s="9"/>
      <c r="Y92" s="9"/>
      <c r="Z92" s="9"/>
      <c r="AA92" s="9"/>
      <c r="AB92" s="9"/>
      <c r="AC92" s="9"/>
      <c r="AD92" s="9"/>
      <c r="AE92" s="9"/>
      <c r="AF92" s="9"/>
    </row>
    <row r="93" customFormat="false" ht="15" hidden="false" customHeight="false" outlineLevel="0" collapsed="false">
      <c r="A93" s="8"/>
      <c r="B93" s="8" t="str">
        <f aca="false">IF(D93="","",Y93)</f>
        <v/>
      </c>
      <c r="C93" s="8" t="str">
        <f aca="false">IF(D93="","",Y93&amp;"_"&amp;D93)</f>
        <v/>
      </c>
      <c r="D93" s="9"/>
      <c r="E93" s="8" t="str">
        <f aca="false">IF(D93="","",TRIM(D93&amp;" "&amp;Y93&amp;" "&amp;Z93&amp;" "&amp;IF(AA93="","",TEXT(AA93,"0.00")&amp;"g")&amp;" "&amp;AB93&amp;" "&amp;AF93&amp;IF(AC93="",""," Sz# "&amp;AC93)&amp;IF(AD93="Preloved"," [Preloved]","")))</f>
        <v/>
      </c>
      <c r="F93" s="8"/>
      <c r="G93" s="10"/>
      <c r="H93" s="10"/>
      <c r="I93" s="8" t="str">
        <f aca="false">IF(D93="","",1)</f>
        <v/>
      </c>
      <c r="J93" s="8"/>
      <c r="K93" s="8" t="str">
        <f aca="false">IF(AA93="","",AA93/1000)</f>
        <v/>
      </c>
      <c r="L93" s="9"/>
      <c r="M93" s="9"/>
      <c r="N93" s="8"/>
      <c r="O93" s="9"/>
      <c r="P93" s="9"/>
      <c r="Q93" s="9"/>
      <c r="R93" s="9"/>
      <c r="S93" s="9"/>
      <c r="T93" s="9"/>
      <c r="U93" s="9"/>
      <c r="V93" s="9"/>
      <c r="W93" s="9"/>
      <c r="X93" s="9"/>
      <c r="Y93" s="9"/>
      <c r="Z93" s="9"/>
      <c r="AA93" s="9"/>
      <c r="AB93" s="9"/>
      <c r="AC93" s="9"/>
      <c r="AD93" s="9"/>
      <c r="AE93" s="9"/>
      <c r="AF93" s="9"/>
    </row>
    <row r="94" customFormat="false" ht="15" hidden="false" customHeight="false" outlineLevel="0" collapsed="false">
      <c r="A94" s="8"/>
      <c r="B94" s="8" t="str">
        <f aca="false">IF(D94="","",Y94)</f>
        <v/>
      </c>
      <c r="C94" s="8" t="str">
        <f aca="false">IF(D94="","",Y94&amp;"_"&amp;D94)</f>
        <v/>
      </c>
      <c r="D94" s="9"/>
      <c r="E94" s="8" t="str">
        <f aca="false">IF(D94="","",TRIM(D94&amp;" "&amp;Y94&amp;" "&amp;Z94&amp;" "&amp;IF(AA94="","",TEXT(AA94,"0.00")&amp;"g")&amp;" "&amp;AB94&amp;" "&amp;AF94&amp;IF(AC94="",""," Sz# "&amp;AC94)&amp;IF(AD94="Preloved"," [Preloved]","")))</f>
        <v/>
      </c>
      <c r="F94" s="8"/>
      <c r="G94" s="10"/>
      <c r="H94" s="10"/>
      <c r="I94" s="8" t="str">
        <f aca="false">IF(D94="","",1)</f>
        <v/>
      </c>
      <c r="J94" s="8"/>
      <c r="K94" s="8" t="str">
        <f aca="false">IF(AA94="","",AA94/1000)</f>
        <v/>
      </c>
      <c r="L94" s="9"/>
      <c r="M94" s="9"/>
      <c r="N94" s="8"/>
      <c r="O94" s="9"/>
      <c r="P94" s="9"/>
      <c r="Q94" s="9"/>
      <c r="R94" s="9"/>
      <c r="S94" s="9"/>
      <c r="T94" s="9"/>
      <c r="U94" s="9"/>
      <c r="V94" s="9"/>
      <c r="W94" s="9"/>
      <c r="X94" s="9"/>
      <c r="Y94" s="9"/>
      <c r="Z94" s="9"/>
      <c r="AA94" s="9"/>
      <c r="AB94" s="9"/>
      <c r="AC94" s="9"/>
      <c r="AD94" s="9"/>
      <c r="AE94" s="9"/>
      <c r="AF94" s="9"/>
    </row>
    <row r="95" customFormat="false" ht="15" hidden="false" customHeight="false" outlineLevel="0" collapsed="false">
      <c r="A95" s="8"/>
      <c r="B95" s="8" t="str">
        <f aca="false">IF(D95="","",Y95)</f>
        <v/>
      </c>
      <c r="C95" s="8" t="str">
        <f aca="false">IF(D95="","",Y95&amp;"_"&amp;D95)</f>
        <v/>
      </c>
      <c r="D95" s="9"/>
      <c r="E95" s="8" t="str">
        <f aca="false">IF(D95="","",TRIM(D95&amp;" "&amp;Y95&amp;" "&amp;Z95&amp;" "&amp;IF(AA95="","",TEXT(AA95,"0.00")&amp;"g")&amp;" "&amp;AB95&amp;" "&amp;AF95&amp;IF(AC95="",""," Sz# "&amp;AC95)&amp;IF(AD95="Preloved"," [Preloved]","")))</f>
        <v/>
      </c>
      <c r="F95" s="8"/>
      <c r="G95" s="10"/>
      <c r="H95" s="10"/>
      <c r="I95" s="8" t="str">
        <f aca="false">IF(D95="","",1)</f>
        <v/>
      </c>
      <c r="J95" s="8"/>
      <c r="K95" s="8" t="str">
        <f aca="false">IF(AA95="","",AA95/1000)</f>
        <v/>
      </c>
      <c r="L95" s="9"/>
      <c r="M95" s="9"/>
      <c r="N95" s="8"/>
      <c r="O95" s="9"/>
      <c r="P95" s="9"/>
      <c r="Q95" s="9"/>
      <c r="R95" s="9"/>
      <c r="S95" s="9"/>
      <c r="T95" s="9"/>
      <c r="U95" s="9"/>
      <c r="V95" s="9"/>
      <c r="W95" s="9"/>
      <c r="X95" s="9"/>
      <c r="Y95" s="9"/>
      <c r="Z95" s="9"/>
      <c r="AA95" s="9"/>
      <c r="AB95" s="9"/>
      <c r="AC95" s="9"/>
      <c r="AD95" s="9"/>
      <c r="AE95" s="9"/>
      <c r="AF95" s="9"/>
    </row>
    <row r="96" customFormat="false" ht="15" hidden="false" customHeight="false" outlineLevel="0" collapsed="false">
      <c r="A96" s="8"/>
      <c r="B96" s="8" t="str">
        <f aca="false">IF(D96="","",Y96)</f>
        <v/>
      </c>
      <c r="C96" s="8" t="str">
        <f aca="false">IF(D96="","",Y96&amp;"_"&amp;D96)</f>
        <v/>
      </c>
      <c r="D96" s="9"/>
      <c r="E96" s="8" t="str">
        <f aca="false">IF(D96="","",TRIM(D96&amp;" "&amp;Y96&amp;" "&amp;Z96&amp;" "&amp;IF(AA96="","",TEXT(AA96,"0.00")&amp;"g")&amp;" "&amp;AB96&amp;" "&amp;AF96&amp;IF(AC96="",""," Sz# "&amp;AC96)&amp;IF(AD96="Preloved"," [Preloved]","")))</f>
        <v/>
      </c>
      <c r="F96" s="8"/>
      <c r="G96" s="10"/>
      <c r="H96" s="10"/>
      <c r="I96" s="8" t="str">
        <f aca="false">IF(D96="","",1)</f>
        <v/>
      </c>
      <c r="J96" s="8"/>
      <c r="K96" s="8" t="str">
        <f aca="false">IF(AA96="","",AA96/1000)</f>
        <v/>
      </c>
      <c r="L96" s="9"/>
      <c r="M96" s="9"/>
      <c r="N96" s="8"/>
      <c r="O96" s="9"/>
      <c r="P96" s="9"/>
      <c r="Q96" s="9"/>
      <c r="R96" s="9"/>
      <c r="S96" s="9"/>
      <c r="T96" s="9"/>
      <c r="U96" s="9"/>
      <c r="V96" s="9"/>
      <c r="W96" s="9"/>
      <c r="X96" s="9"/>
      <c r="Y96" s="9"/>
      <c r="Z96" s="9"/>
      <c r="AA96" s="9"/>
      <c r="AB96" s="9"/>
      <c r="AC96" s="9"/>
      <c r="AD96" s="9"/>
      <c r="AE96" s="9"/>
      <c r="AF96" s="9"/>
    </row>
    <row r="97" customFormat="false" ht="15" hidden="false" customHeight="false" outlineLevel="0" collapsed="false">
      <c r="A97" s="8"/>
      <c r="B97" s="8" t="str">
        <f aca="false">IF(D97="","",Y97)</f>
        <v/>
      </c>
      <c r="C97" s="8" t="str">
        <f aca="false">IF(D97="","",Y97&amp;"_"&amp;D97)</f>
        <v/>
      </c>
      <c r="D97" s="9"/>
      <c r="E97" s="8" t="str">
        <f aca="false">IF(D97="","",TRIM(D97&amp;" "&amp;Y97&amp;" "&amp;Z97&amp;" "&amp;IF(AA97="","",TEXT(AA97,"0.00")&amp;"g")&amp;" "&amp;AB97&amp;" "&amp;AF97&amp;IF(AC97="",""," Sz# "&amp;AC97)&amp;IF(AD97="Preloved"," [Preloved]","")))</f>
        <v/>
      </c>
      <c r="F97" s="8"/>
      <c r="G97" s="10"/>
      <c r="H97" s="10"/>
      <c r="I97" s="8" t="str">
        <f aca="false">IF(D97="","",1)</f>
        <v/>
      </c>
      <c r="J97" s="8"/>
      <c r="K97" s="8" t="str">
        <f aca="false">IF(AA97="","",AA97/1000)</f>
        <v/>
      </c>
      <c r="L97" s="9"/>
      <c r="M97" s="9"/>
      <c r="N97" s="8"/>
      <c r="O97" s="9"/>
      <c r="P97" s="9"/>
      <c r="Q97" s="9"/>
      <c r="R97" s="9"/>
      <c r="S97" s="9"/>
      <c r="T97" s="9"/>
      <c r="U97" s="9"/>
      <c r="V97" s="9"/>
      <c r="W97" s="9"/>
      <c r="X97" s="9"/>
      <c r="Y97" s="9"/>
      <c r="Z97" s="9"/>
      <c r="AA97" s="9"/>
      <c r="AB97" s="9"/>
      <c r="AC97" s="9"/>
      <c r="AD97" s="9"/>
      <c r="AE97" s="9"/>
      <c r="AF97" s="9"/>
    </row>
    <row r="98" customFormat="false" ht="15" hidden="false" customHeight="false" outlineLevel="0" collapsed="false">
      <c r="A98" s="8"/>
      <c r="B98" s="8" t="str">
        <f aca="false">IF(D98="","",Y98)</f>
        <v/>
      </c>
      <c r="C98" s="8" t="str">
        <f aca="false">IF(D98="","",Y98&amp;"_"&amp;D98)</f>
        <v/>
      </c>
      <c r="D98" s="9"/>
      <c r="E98" s="8" t="str">
        <f aca="false">IF(D98="","",TRIM(D98&amp;" "&amp;Y98&amp;" "&amp;Z98&amp;" "&amp;IF(AA98="","",TEXT(AA98,"0.00")&amp;"g")&amp;" "&amp;AB98&amp;" "&amp;AF98&amp;IF(AC98="",""," Sz# "&amp;AC98)&amp;IF(AD98="Preloved"," [Preloved]","")))</f>
        <v/>
      </c>
      <c r="F98" s="8"/>
      <c r="G98" s="10"/>
      <c r="H98" s="10"/>
      <c r="I98" s="8" t="str">
        <f aca="false">IF(D98="","",1)</f>
        <v/>
      </c>
      <c r="J98" s="8"/>
      <c r="K98" s="8" t="str">
        <f aca="false">IF(AA98="","",AA98/1000)</f>
        <v/>
      </c>
      <c r="L98" s="9"/>
      <c r="M98" s="9"/>
      <c r="N98" s="8"/>
      <c r="O98" s="9"/>
      <c r="P98" s="9"/>
      <c r="Q98" s="9"/>
      <c r="R98" s="9"/>
      <c r="S98" s="9"/>
      <c r="T98" s="9"/>
      <c r="U98" s="9"/>
      <c r="V98" s="9"/>
      <c r="W98" s="9"/>
      <c r="X98" s="9"/>
      <c r="Y98" s="9"/>
      <c r="Z98" s="9"/>
      <c r="AA98" s="9"/>
      <c r="AB98" s="9"/>
      <c r="AC98" s="9"/>
      <c r="AD98" s="9"/>
      <c r="AE98" s="9"/>
      <c r="AF98" s="9"/>
    </row>
    <row r="99" customFormat="false" ht="15" hidden="false" customHeight="false" outlineLevel="0" collapsed="false">
      <c r="A99" s="8"/>
      <c r="B99" s="8" t="str">
        <f aca="false">IF(D99="","",Y99)</f>
        <v/>
      </c>
      <c r="C99" s="8" t="str">
        <f aca="false">IF(D99="","",Y99&amp;"_"&amp;D99)</f>
        <v/>
      </c>
      <c r="D99" s="9"/>
      <c r="E99" s="8" t="str">
        <f aca="false">IF(D99="","",TRIM(D99&amp;" "&amp;Y99&amp;" "&amp;Z99&amp;" "&amp;IF(AA99="","",TEXT(AA99,"0.00")&amp;"g")&amp;" "&amp;AB99&amp;" "&amp;AF99&amp;IF(AC99="",""," Sz# "&amp;AC99)&amp;IF(AD99="Preloved"," [Preloved]","")))</f>
        <v/>
      </c>
      <c r="F99" s="8"/>
      <c r="G99" s="10"/>
      <c r="H99" s="10"/>
      <c r="I99" s="8" t="str">
        <f aca="false">IF(D99="","",1)</f>
        <v/>
      </c>
      <c r="J99" s="8"/>
      <c r="K99" s="8" t="str">
        <f aca="false">IF(AA99="","",AA99/1000)</f>
        <v/>
      </c>
      <c r="L99" s="9"/>
      <c r="M99" s="9"/>
      <c r="N99" s="8"/>
      <c r="O99" s="9"/>
      <c r="P99" s="9"/>
      <c r="Q99" s="9"/>
      <c r="R99" s="9"/>
      <c r="S99" s="9"/>
      <c r="T99" s="9"/>
      <c r="U99" s="9"/>
      <c r="V99" s="9"/>
      <c r="W99" s="9"/>
      <c r="X99" s="9"/>
      <c r="Y99" s="9"/>
      <c r="Z99" s="9"/>
      <c r="AA99" s="9"/>
      <c r="AB99" s="9"/>
      <c r="AC99" s="9"/>
      <c r="AD99" s="9"/>
      <c r="AE99" s="9"/>
      <c r="AF99" s="9"/>
    </row>
    <row r="100" customFormat="false" ht="15" hidden="false" customHeight="false" outlineLevel="0" collapsed="false">
      <c r="A100" s="8"/>
      <c r="B100" s="8" t="str">
        <f aca="false">IF(D100="","",Y100)</f>
        <v/>
      </c>
      <c r="C100" s="8" t="str">
        <f aca="false">IF(D100="","",Y100&amp;"_"&amp;D100)</f>
        <v/>
      </c>
      <c r="D100" s="9"/>
      <c r="E100" s="8" t="str">
        <f aca="false">IF(D100="","",TRIM(D100&amp;" "&amp;Y100&amp;" "&amp;Z100&amp;" "&amp;IF(AA100="","",TEXT(AA100,"0.00")&amp;"g")&amp;" "&amp;AB100&amp;" "&amp;AF100&amp;IF(AC100="",""," Sz# "&amp;AC100)&amp;IF(AD100="Preloved"," [Preloved]","")))</f>
        <v/>
      </c>
      <c r="F100" s="8"/>
      <c r="G100" s="10"/>
      <c r="H100" s="10"/>
      <c r="I100" s="8" t="str">
        <f aca="false">IF(D100="","",1)</f>
        <v/>
      </c>
      <c r="J100" s="8"/>
      <c r="K100" s="8" t="str">
        <f aca="false">IF(AA100="","",AA100/1000)</f>
        <v/>
      </c>
      <c r="L100" s="9"/>
      <c r="M100" s="9"/>
      <c r="N100" s="8"/>
      <c r="O100" s="9"/>
      <c r="P100" s="9"/>
      <c r="Q100" s="9"/>
      <c r="R100" s="9"/>
      <c r="S100" s="9"/>
      <c r="T100" s="9"/>
      <c r="U100" s="9"/>
      <c r="V100" s="9"/>
      <c r="W100" s="9"/>
      <c r="X100" s="9"/>
      <c r="Y100" s="9"/>
      <c r="Z100" s="9"/>
      <c r="AA100" s="9"/>
      <c r="AB100" s="9"/>
      <c r="AC100" s="9"/>
      <c r="AD100" s="9"/>
      <c r="AE100" s="9"/>
      <c r="AF100" s="9"/>
    </row>
    <row r="101" customFormat="false" ht="15" hidden="false" customHeight="false" outlineLevel="0" collapsed="false">
      <c r="A101" s="8"/>
      <c r="B101" s="8" t="str">
        <f aca="false">IF(D101="","",Y101)</f>
        <v/>
      </c>
      <c r="C101" s="8" t="str">
        <f aca="false">IF(D101="","",Y101&amp;"_"&amp;D101)</f>
        <v/>
      </c>
      <c r="D101" s="9"/>
      <c r="E101" s="8" t="str">
        <f aca="false">IF(D101="","",TRIM(D101&amp;" "&amp;Y101&amp;" "&amp;Z101&amp;" "&amp;IF(AA101="","",TEXT(AA101,"0.00")&amp;"g")&amp;" "&amp;AB101&amp;" "&amp;AF101&amp;IF(AC101="",""," Sz# "&amp;AC101)&amp;IF(AD101="Preloved"," [Preloved]","")))</f>
        <v/>
      </c>
      <c r="F101" s="8"/>
      <c r="G101" s="10"/>
      <c r="H101" s="10"/>
      <c r="I101" s="8" t="str">
        <f aca="false">IF(D101="","",1)</f>
        <v/>
      </c>
      <c r="J101" s="8"/>
      <c r="K101" s="8" t="str">
        <f aca="false">IF(AA101="","",AA101/1000)</f>
        <v/>
      </c>
      <c r="L101" s="9"/>
      <c r="M101" s="9"/>
      <c r="N101" s="8"/>
      <c r="O101" s="9"/>
      <c r="P101" s="9"/>
      <c r="Q101" s="9"/>
      <c r="R101" s="9"/>
      <c r="S101" s="9"/>
      <c r="T101" s="9"/>
      <c r="U101" s="9"/>
      <c r="V101" s="9"/>
      <c r="W101" s="9"/>
      <c r="X101" s="9"/>
      <c r="Y101" s="9"/>
      <c r="Z101" s="9"/>
      <c r="AA101" s="9"/>
      <c r="AB101" s="9"/>
      <c r="AC101" s="9"/>
      <c r="AD101" s="9"/>
      <c r="AE101" s="9"/>
      <c r="AF101" s="9"/>
    </row>
    <row r="102" customFormat="false" ht="15" hidden="false" customHeight="false" outlineLevel="0" collapsed="false">
      <c r="A102" s="8"/>
      <c r="B102" s="8" t="str">
        <f aca="false">IF(D102="","",Y102)</f>
        <v/>
      </c>
      <c r="C102" s="8" t="str">
        <f aca="false">IF(D102="","",Y102&amp;"_"&amp;D102)</f>
        <v/>
      </c>
      <c r="D102" s="9"/>
      <c r="E102" s="8" t="str">
        <f aca="false">IF(D102="","",TRIM(D102&amp;" "&amp;Y102&amp;" "&amp;Z102&amp;" "&amp;IF(AA102="","",TEXT(AA102,"0.00")&amp;"g")&amp;" "&amp;AB102&amp;" "&amp;AF102&amp;IF(AC102="",""," Sz# "&amp;AC102)&amp;IF(AD102="Preloved"," [Preloved]","")))</f>
        <v/>
      </c>
      <c r="F102" s="8"/>
      <c r="G102" s="10"/>
      <c r="H102" s="10"/>
      <c r="I102" s="8" t="str">
        <f aca="false">IF(D102="","",1)</f>
        <v/>
      </c>
      <c r="J102" s="8"/>
      <c r="K102" s="8" t="str">
        <f aca="false">IF(AA102="","",AA102/1000)</f>
        <v/>
      </c>
      <c r="L102" s="9"/>
      <c r="M102" s="9"/>
      <c r="N102" s="8"/>
      <c r="O102" s="9"/>
      <c r="P102" s="9"/>
      <c r="Q102" s="9"/>
      <c r="R102" s="9"/>
      <c r="S102" s="9"/>
      <c r="T102" s="9"/>
      <c r="U102" s="9"/>
      <c r="V102" s="9"/>
      <c r="W102" s="9"/>
      <c r="X102" s="9"/>
      <c r="Y102" s="9"/>
      <c r="Z102" s="9"/>
      <c r="AA102" s="9"/>
      <c r="AB102" s="9"/>
      <c r="AC102" s="9"/>
      <c r="AD102" s="9"/>
      <c r="AE102" s="9"/>
      <c r="AF102" s="9"/>
    </row>
    <row r="103" customFormat="false" ht="15" hidden="false" customHeight="false" outlineLevel="0" collapsed="false">
      <c r="A103" s="8"/>
      <c r="B103" s="8" t="str">
        <f aca="false">IF(D103="","",Y103)</f>
        <v/>
      </c>
      <c r="C103" s="8" t="str">
        <f aca="false">IF(D103="","",Y103&amp;"_"&amp;D103)</f>
        <v/>
      </c>
      <c r="D103" s="9"/>
      <c r="E103" s="8" t="str">
        <f aca="false">IF(D103="","",TRIM(D103&amp;" "&amp;Y103&amp;" "&amp;Z103&amp;" "&amp;IF(AA103="","",TEXT(AA103,"0.00")&amp;"g")&amp;" "&amp;AB103&amp;" "&amp;AF103&amp;IF(AC103="",""," Sz# "&amp;AC103)&amp;IF(AD103="Preloved"," [Preloved]","")))</f>
        <v/>
      </c>
      <c r="F103" s="8"/>
      <c r="G103" s="10"/>
      <c r="H103" s="10"/>
      <c r="I103" s="8" t="str">
        <f aca="false">IF(D103="","",1)</f>
        <v/>
      </c>
      <c r="J103" s="8"/>
      <c r="K103" s="8" t="str">
        <f aca="false">IF(AA103="","",AA103/1000)</f>
        <v/>
      </c>
      <c r="L103" s="9"/>
      <c r="M103" s="9"/>
      <c r="N103" s="8"/>
      <c r="O103" s="9"/>
      <c r="P103" s="9"/>
      <c r="Q103" s="9"/>
      <c r="R103" s="9"/>
      <c r="S103" s="9"/>
      <c r="T103" s="9"/>
      <c r="U103" s="9"/>
      <c r="V103" s="9"/>
      <c r="W103" s="9"/>
      <c r="X103" s="9"/>
      <c r="Y103" s="9"/>
      <c r="Z103" s="9"/>
      <c r="AA103" s="9"/>
      <c r="AB103" s="9"/>
      <c r="AC103" s="9"/>
      <c r="AD103" s="9"/>
      <c r="AE103" s="9"/>
      <c r="AF103" s="9"/>
    </row>
    <row r="104" customFormat="false" ht="15" hidden="false" customHeight="false" outlineLevel="0" collapsed="false">
      <c r="A104" s="8"/>
      <c r="B104" s="8" t="str">
        <f aca="false">IF(D104="","",Y104)</f>
        <v/>
      </c>
      <c r="C104" s="8" t="str">
        <f aca="false">IF(D104="","",Y104&amp;"_"&amp;D104)</f>
        <v/>
      </c>
      <c r="D104" s="9"/>
      <c r="E104" s="8" t="str">
        <f aca="false">IF(D104="","",TRIM(D104&amp;" "&amp;Y104&amp;" "&amp;Z104&amp;" "&amp;IF(AA104="","",TEXT(AA104,"0.00")&amp;"g")&amp;" "&amp;AB104&amp;" "&amp;AF104&amp;IF(AC104="",""," Sz# "&amp;AC104)&amp;IF(AD104="Preloved"," [Preloved]","")))</f>
        <v/>
      </c>
      <c r="F104" s="8"/>
      <c r="G104" s="10"/>
      <c r="H104" s="10"/>
      <c r="I104" s="8" t="str">
        <f aca="false">IF(D104="","",1)</f>
        <v/>
      </c>
      <c r="J104" s="8"/>
      <c r="K104" s="8" t="str">
        <f aca="false">IF(AA104="","",AA104/1000)</f>
        <v/>
      </c>
      <c r="L104" s="9"/>
      <c r="M104" s="9"/>
      <c r="N104" s="8"/>
      <c r="O104" s="9"/>
      <c r="P104" s="9"/>
      <c r="Q104" s="9"/>
      <c r="R104" s="9"/>
      <c r="S104" s="9"/>
      <c r="T104" s="9"/>
      <c r="U104" s="9"/>
      <c r="V104" s="9"/>
      <c r="W104" s="9"/>
      <c r="X104" s="9"/>
      <c r="Y104" s="9"/>
      <c r="Z104" s="9"/>
      <c r="AA104" s="9"/>
      <c r="AB104" s="9"/>
      <c r="AC104" s="9"/>
      <c r="AD104" s="9"/>
      <c r="AE104" s="9"/>
      <c r="AF104" s="9"/>
    </row>
    <row r="105" customFormat="false" ht="15" hidden="false" customHeight="false" outlineLevel="0" collapsed="false">
      <c r="A105" s="8"/>
      <c r="B105" s="8" t="str">
        <f aca="false">IF(D105="","",Y105)</f>
        <v/>
      </c>
      <c r="C105" s="8" t="str">
        <f aca="false">IF(D105="","",Y105&amp;"_"&amp;D105)</f>
        <v/>
      </c>
      <c r="D105" s="9"/>
      <c r="E105" s="8" t="str">
        <f aca="false">IF(D105="","",TRIM(D105&amp;" "&amp;Y105&amp;" "&amp;Z105&amp;" "&amp;IF(AA105="","",TEXT(AA105,"0.00")&amp;"g")&amp;" "&amp;AB105&amp;" "&amp;AF105&amp;IF(AC105="",""," Sz# "&amp;AC105)&amp;IF(AD105="Preloved"," [Preloved]","")))</f>
        <v/>
      </c>
      <c r="F105" s="8"/>
      <c r="G105" s="10"/>
      <c r="H105" s="10"/>
      <c r="I105" s="8" t="str">
        <f aca="false">IF(D105="","",1)</f>
        <v/>
      </c>
      <c r="J105" s="8"/>
      <c r="K105" s="8" t="str">
        <f aca="false">IF(AA105="","",AA105/1000)</f>
        <v/>
      </c>
      <c r="L105" s="9"/>
      <c r="M105" s="9"/>
      <c r="N105" s="8"/>
      <c r="O105" s="9"/>
      <c r="P105" s="9"/>
      <c r="Q105" s="9"/>
      <c r="R105" s="9"/>
      <c r="S105" s="9"/>
      <c r="T105" s="9"/>
      <c r="U105" s="9"/>
      <c r="V105" s="9"/>
      <c r="W105" s="9"/>
      <c r="X105" s="9"/>
      <c r="Y105" s="9"/>
      <c r="Z105" s="9"/>
      <c r="AA105" s="9"/>
      <c r="AB105" s="9"/>
      <c r="AC105" s="9"/>
      <c r="AD105" s="9"/>
      <c r="AE105" s="9"/>
      <c r="AF105" s="9"/>
    </row>
    <row r="106" customFormat="false" ht="15" hidden="false" customHeight="false" outlineLevel="0" collapsed="false">
      <c r="A106" s="8"/>
      <c r="B106" s="8" t="str">
        <f aca="false">IF(D106="","",Y106)</f>
        <v/>
      </c>
      <c r="C106" s="8" t="str">
        <f aca="false">IF(D106="","",Y106&amp;"_"&amp;D106)</f>
        <v/>
      </c>
      <c r="D106" s="9"/>
      <c r="E106" s="8" t="str">
        <f aca="false">IF(D106="","",TRIM(D106&amp;" "&amp;Y106&amp;" "&amp;Z106&amp;" "&amp;IF(AA106="","",TEXT(AA106,"0.00")&amp;"g")&amp;" "&amp;AB106&amp;" "&amp;AF106&amp;IF(AC106="",""," Sz# "&amp;AC106)&amp;IF(AD106="Preloved"," [Preloved]","")))</f>
        <v/>
      </c>
      <c r="F106" s="8"/>
      <c r="G106" s="10"/>
      <c r="H106" s="10"/>
      <c r="I106" s="8" t="str">
        <f aca="false">IF(D106="","",1)</f>
        <v/>
      </c>
      <c r="J106" s="8"/>
      <c r="K106" s="8" t="str">
        <f aca="false">IF(AA106="","",AA106/1000)</f>
        <v/>
      </c>
      <c r="L106" s="9"/>
      <c r="M106" s="9"/>
      <c r="N106" s="8"/>
      <c r="O106" s="9"/>
      <c r="P106" s="9"/>
      <c r="Q106" s="9"/>
      <c r="R106" s="9"/>
      <c r="S106" s="9"/>
      <c r="T106" s="9"/>
      <c r="U106" s="9"/>
      <c r="V106" s="9"/>
      <c r="W106" s="9"/>
      <c r="X106" s="9"/>
      <c r="Y106" s="9"/>
      <c r="Z106" s="9"/>
      <c r="AA106" s="9"/>
      <c r="AB106" s="9"/>
      <c r="AC106" s="9"/>
      <c r="AD106" s="9"/>
      <c r="AE106" s="9"/>
      <c r="AF106" s="9"/>
    </row>
    <row r="107" customFormat="false" ht="15" hidden="false" customHeight="false" outlineLevel="0" collapsed="false">
      <c r="A107" s="8"/>
      <c r="B107" s="8" t="str">
        <f aca="false">IF(D107="","",Y107)</f>
        <v/>
      </c>
      <c r="C107" s="8" t="str">
        <f aca="false">IF(D107="","",Y107&amp;"_"&amp;D107)</f>
        <v/>
      </c>
      <c r="D107" s="9"/>
      <c r="E107" s="8" t="str">
        <f aca="false">IF(D107="","",TRIM(D107&amp;" "&amp;Y107&amp;" "&amp;Z107&amp;" "&amp;IF(AA107="","",TEXT(AA107,"0.00")&amp;"g")&amp;" "&amp;AB107&amp;" "&amp;AF107&amp;IF(AC107="",""," Sz# "&amp;AC107)&amp;IF(AD107="Preloved"," [Preloved]","")))</f>
        <v/>
      </c>
      <c r="F107" s="8"/>
      <c r="G107" s="10"/>
      <c r="H107" s="10"/>
      <c r="I107" s="8" t="str">
        <f aca="false">IF(D107="","",1)</f>
        <v/>
      </c>
      <c r="J107" s="8"/>
      <c r="K107" s="8" t="str">
        <f aca="false">IF(AA107="","",AA107/1000)</f>
        <v/>
      </c>
      <c r="L107" s="9"/>
      <c r="M107" s="9"/>
      <c r="N107" s="8"/>
      <c r="O107" s="9"/>
      <c r="P107" s="9"/>
      <c r="Q107" s="9"/>
      <c r="R107" s="9"/>
      <c r="S107" s="9"/>
      <c r="T107" s="9"/>
      <c r="U107" s="9"/>
      <c r="V107" s="9"/>
      <c r="W107" s="9"/>
      <c r="X107" s="9"/>
      <c r="Y107" s="9"/>
      <c r="Z107" s="9"/>
      <c r="AA107" s="9"/>
      <c r="AB107" s="9"/>
      <c r="AC107" s="9"/>
      <c r="AD107" s="9"/>
      <c r="AE107" s="9"/>
      <c r="AF107" s="9"/>
    </row>
    <row r="108" customFormat="false" ht="15" hidden="false" customHeight="false" outlineLevel="0" collapsed="false">
      <c r="A108" s="8"/>
      <c r="B108" s="8" t="str">
        <f aca="false">IF(D108="","",Y108)</f>
        <v/>
      </c>
      <c r="C108" s="8" t="str">
        <f aca="false">IF(D108="","",Y108&amp;"_"&amp;D108)</f>
        <v/>
      </c>
      <c r="D108" s="9"/>
      <c r="E108" s="8" t="str">
        <f aca="false">IF(D108="","",TRIM(D108&amp;" "&amp;Y108&amp;" "&amp;Z108&amp;" "&amp;IF(AA108="","",TEXT(AA108,"0.00")&amp;"g")&amp;" "&amp;AB108&amp;" "&amp;AF108&amp;IF(AC108="",""," Sz# "&amp;AC108)&amp;IF(AD108="Preloved"," [Preloved]","")))</f>
        <v/>
      </c>
      <c r="F108" s="8"/>
      <c r="G108" s="10"/>
      <c r="H108" s="10"/>
      <c r="I108" s="8" t="str">
        <f aca="false">IF(D108="","",1)</f>
        <v/>
      </c>
      <c r="J108" s="8"/>
      <c r="K108" s="8" t="str">
        <f aca="false">IF(AA108="","",AA108/1000)</f>
        <v/>
      </c>
      <c r="L108" s="9"/>
      <c r="M108" s="9"/>
      <c r="N108" s="8"/>
      <c r="O108" s="9"/>
      <c r="P108" s="9"/>
      <c r="Q108" s="9"/>
      <c r="R108" s="9"/>
      <c r="S108" s="9"/>
      <c r="T108" s="9"/>
      <c r="U108" s="9"/>
      <c r="V108" s="9"/>
      <c r="W108" s="9"/>
      <c r="X108" s="9"/>
      <c r="Y108" s="9"/>
      <c r="Z108" s="9"/>
      <c r="AA108" s="9"/>
      <c r="AB108" s="9"/>
      <c r="AC108" s="9"/>
      <c r="AD108" s="9"/>
      <c r="AE108" s="9"/>
      <c r="AF108" s="9"/>
    </row>
    <row r="109" customFormat="false" ht="15" hidden="false" customHeight="false" outlineLevel="0" collapsed="false">
      <c r="A109" s="8"/>
      <c r="B109" s="8" t="str">
        <f aca="false">IF(D109="","",Y109)</f>
        <v/>
      </c>
      <c r="C109" s="8" t="str">
        <f aca="false">IF(D109="","",Y109&amp;"_"&amp;D109)</f>
        <v/>
      </c>
      <c r="D109" s="9"/>
      <c r="E109" s="8" t="str">
        <f aca="false">IF(D109="","",TRIM(D109&amp;" "&amp;Y109&amp;" "&amp;Z109&amp;" "&amp;IF(AA109="","",TEXT(AA109,"0.00")&amp;"g")&amp;" "&amp;AB109&amp;" "&amp;AF109&amp;IF(AC109="",""," Sz# "&amp;AC109)&amp;IF(AD109="Preloved"," [Preloved]","")))</f>
        <v/>
      </c>
      <c r="F109" s="8"/>
      <c r="G109" s="10"/>
      <c r="H109" s="10"/>
      <c r="I109" s="8" t="str">
        <f aca="false">IF(D109="","",1)</f>
        <v/>
      </c>
      <c r="J109" s="8"/>
      <c r="K109" s="8" t="str">
        <f aca="false">IF(AA109="","",AA109/1000)</f>
        <v/>
      </c>
      <c r="L109" s="9"/>
      <c r="M109" s="9"/>
      <c r="N109" s="8"/>
      <c r="O109" s="9"/>
      <c r="P109" s="9"/>
      <c r="Q109" s="9"/>
      <c r="R109" s="9"/>
      <c r="S109" s="9"/>
      <c r="T109" s="9"/>
      <c r="U109" s="9"/>
      <c r="V109" s="9"/>
      <c r="W109" s="9"/>
      <c r="X109" s="9"/>
      <c r="Y109" s="9"/>
      <c r="Z109" s="9"/>
      <c r="AA109" s="9"/>
      <c r="AB109" s="9"/>
      <c r="AC109" s="9"/>
      <c r="AD109" s="9"/>
      <c r="AE109" s="9"/>
      <c r="AF109" s="9"/>
    </row>
    <row r="110" customFormat="false" ht="15" hidden="false" customHeight="false" outlineLevel="0" collapsed="false">
      <c r="A110" s="8"/>
      <c r="B110" s="8" t="str">
        <f aca="false">IF(D110="","",Y110)</f>
        <v/>
      </c>
      <c r="C110" s="8" t="str">
        <f aca="false">IF(D110="","",Y110&amp;"_"&amp;D110)</f>
        <v/>
      </c>
      <c r="D110" s="9"/>
      <c r="E110" s="8" t="str">
        <f aca="false">IF(D110="","",TRIM(D110&amp;" "&amp;Y110&amp;" "&amp;Z110&amp;" "&amp;IF(AA110="","",TEXT(AA110,"0.00")&amp;"g")&amp;" "&amp;AB110&amp;" "&amp;AF110&amp;IF(AC110="",""," Sz# "&amp;AC110)&amp;IF(AD110="Preloved"," [Preloved]","")))</f>
        <v/>
      </c>
      <c r="F110" s="8"/>
      <c r="G110" s="10"/>
      <c r="H110" s="10"/>
      <c r="I110" s="8" t="str">
        <f aca="false">IF(D110="","",1)</f>
        <v/>
      </c>
      <c r="J110" s="8"/>
      <c r="K110" s="8" t="str">
        <f aca="false">IF(AA110="","",AA110/1000)</f>
        <v/>
      </c>
      <c r="L110" s="9"/>
      <c r="M110" s="9"/>
      <c r="N110" s="8"/>
      <c r="O110" s="9"/>
      <c r="P110" s="9"/>
      <c r="Q110" s="9"/>
      <c r="R110" s="9"/>
      <c r="S110" s="9"/>
      <c r="T110" s="9"/>
      <c r="U110" s="9"/>
      <c r="V110" s="9"/>
      <c r="W110" s="9"/>
      <c r="X110" s="9"/>
      <c r="Y110" s="9"/>
      <c r="Z110" s="9"/>
      <c r="AA110" s="9"/>
      <c r="AB110" s="9"/>
      <c r="AC110" s="9"/>
      <c r="AD110" s="9"/>
      <c r="AE110" s="9"/>
      <c r="AF110" s="9"/>
    </row>
    <row r="111" customFormat="false" ht="15" hidden="false" customHeight="false" outlineLevel="0" collapsed="false">
      <c r="A111" s="8"/>
      <c r="B111" s="8" t="str">
        <f aca="false">IF(D111="","",Y111)</f>
        <v/>
      </c>
      <c r="C111" s="8" t="str">
        <f aca="false">IF(D111="","",Y111&amp;"_"&amp;D111)</f>
        <v/>
      </c>
      <c r="D111" s="9"/>
      <c r="E111" s="8" t="str">
        <f aca="false">IF(D111="","",TRIM(D111&amp;" "&amp;Y111&amp;" "&amp;Z111&amp;" "&amp;IF(AA111="","",TEXT(AA111,"0.00")&amp;"g")&amp;" "&amp;AB111&amp;" "&amp;AF111&amp;IF(AC111="",""," Sz# "&amp;AC111)&amp;IF(AD111="Preloved"," [Preloved]","")))</f>
        <v/>
      </c>
      <c r="F111" s="8"/>
      <c r="G111" s="10"/>
      <c r="H111" s="10"/>
      <c r="I111" s="8" t="str">
        <f aca="false">IF(D111="","",1)</f>
        <v/>
      </c>
      <c r="J111" s="8"/>
      <c r="K111" s="8" t="str">
        <f aca="false">IF(AA111="","",AA111/1000)</f>
        <v/>
      </c>
      <c r="L111" s="9"/>
      <c r="M111" s="9"/>
      <c r="N111" s="8"/>
      <c r="O111" s="9"/>
      <c r="P111" s="9"/>
      <c r="Q111" s="9"/>
      <c r="R111" s="9"/>
      <c r="S111" s="9"/>
      <c r="T111" s="9"/>
      <c r="U111" s="9"/>
      <c r="V111" s="9"/>
      <c r="W111" s="9"/>
      <c r="X111" s="9"/>
      <c r="Y111" s="9"/>
      <c r="Z111" s="9"/>
      <c r="AA111" s="9"/>
      <c r="AB111" s="9"/>
      <c r="AC111" s="9"/>
      <c r="AD111" s="9"/>
      <c r="AE111" s="9"/>
      <c r="AF111" s="9"/>
    </row>
    <row r="112" customFormat="false" ht="15" hidden="false" customHeight="false" outlineLevel="0" collapsed="false">
      <c r="A112" s="8"/>
      <c r="B112" s="8" t="str">
        <f aca="false">IF(D112="","",Y112)</f>
        <v/>
      </c>
      <c r="C112" s="8" t="str">
        <f aca="false">IF(D112="","",Y112&amp;"_"&amp;D112)</f>
        <v/>
      </c>
      <c r="D112" s="9"/>
      <c r="E112" s="8" t="str">
        <f aca="false">IF(D112="","",TRIM(D112&amp;" "&amp;Y112&amp;" "&amp;Z112&amp;" "&amp;IF(AA112="","",TEXT(AA112,"0.00")&amp;"g")&amp;" "&amp;AB112&amp;" "&amp;AF112&amp;IF(AC112="",""," Sz# "&amp;AC112)&amp;IF(AD112="Preloved"," [Preloved]","")))</f>
        <v/>
      </c>
      <c r="F112" s="8"/>
      <c r="G112" s="10"/>
      <c r="H112" s="10"/>
      <c r="I112" s="8" t="str">
        <f aca="false">IF(D112="","",1)</f>
        <v/>
      </c>
      <c r="J112" s="8"/>
      <c r="K112" s="8" t="str">
        <f aca="false">IF(AA112="","",AA112/1000)</f>
        <v/>
      </c>
      <c r="L112" s="9"/>
      <c r="M112" s="9"/>
      <c r="N112" s="8"/>
      <c r="O112" s="9"/>
      <c r="P112" s="9"/>
      <c r="Q112" s="9"/>
      <c r="R112" s="9"/>
      <c r="S112" s="9"/>
      <c r="T112" s="9"/>
      <c r="U112" s="9"/>
      <c r="V112" s="9"/>
      <c r="W112" s="9"/>
      <c r="X112" s="9"/>
      <c r="Y112" s="9"/>
      <c r="Z112" s="9"/>
      <c r="AA112" s="9"/>
      <c r="AB112" s="9"/>
      <c r="AC112" s="9"/>
      <c r="AD112" s="9"/>
      <c r="AE112" s="9"/>
      <c r="AF112" s="9"/>
    </row>
    <row r="113" customFormat="false" ht="15" hidden="false" customHeight="false" outlineLevel="0" collapsed="false">
      <c r="A113" s="8"/>
      <c r="B113" s="8" t="str">
        <f aca="false">IF(D113="","",Y113)</f>
        <v/>
      </c>
      <c r="C113" s="8" t="str">
        <f aca="false">IF(D113="","",Y113&amp;"_"&amp;D113)</f>
        <v/>
      </c>
      <c r="D113" s="9"/>
      <c r="E113" s="8" t="str">
        <f aca="false">IF(D113="","",TRIM(D113&amp;" "&amp;Y113&amp;" "&amp;Z113&amp;" "&amp;IF(AA113="","",TEXT(AA113,"0.00")&amp;"g")&amp;" "&amp;AB113&amp;" "&amp;AF113&amp;IF(AC113="",""," Sz# "&amp;AC113)&amp;IF(AD113="Preloved"," [Preloved]","")))</f>
        <v/>
      </c>
      <c r="F113" s="8"/>
      <c r="G113" s="10"/>
      <c r="H113" s="10"/>
      <c r="I113" s="8" t="str">
        <f aca="false">IF(D113="","",1)</f>
        <v/>
      </c>
      <c r="J113" s="8"/>
      <c r="K113" s="8" t="str">
        <f aca="false">IF(AA113="","",AA113/1000)</f>
        <v/>
      </c>
      <c r="L113" s="9"/>
      <c r="M113" s="9"/>
      <c r="N113" s="8"/>
      <c r="O113" s="9"/>
      <c r="P113" s="9"/>
      <c r="Q113" s="9"/>
      <c r="R113" s="9"/>
      <c r="S113" s="9"/>
      <c r="T113" s="9"/>
      <c r="U113" s="9"/>
      <c r="V113" s="9"/>
      <c r="W113" s="9"/>
      <c r="X113" s="9"/>
      <c r="Y113" s="9"/>
      <c r="Z113" s="9"/>
      <c r="AA113" s="9"/>
      <c r="AB113" s="9"/>
      <c r="AC113" s="9"/>
      <c r="AD113" s="9"/>
      <c r="AE113" s="9"/>
      <c r="AF113" s="9"/>
    </row>
    <row r="114" customFormat="false" ht="15" hidden="false" customHeight="false" outlineLevel="0" collapsed="false">
      <c r="A114" s="8"/>
      <c r="B114" s="8" t="str">
        <f aca="false">IF(D114="","",Y114)</f>
        <v/>
      </c>
      <c r="C114" s="8" t="str">
        <f aca="false">IF(D114="","",Y114&amp;"_"&amp;D114)</f>
        <v/>
      </c>
      <c r="D114" s="9"/>
      <c r="E114" s="8" t="str">
        <f aca="false">IF(D114="","",TRIM(D114&amp;" "&amp;Y114&amp;" "&amp;Z114&amp;" "&amp;IF(AA114="","",TEXT(AA114,"0.00")&amp;"g")&amp;" "&amp;AB114&amp;" "&amp;AF114&amp;IF(AC114="",""," Sz# "&amp;AC114)&amp;IF(AD114="Preloved"," [Preloved]","")))</f>
        <v/>
      </c>
      <c r="F114" s="8"/>
      <c r="G114" s="10"/>
      <c r="H114" s="10"/>
      <c r="I114" s="8" t="str">
        <f aca="false">IF(D114="","",1)</f>
        <v/>
      </c>
      <c r="J114" s="8"/>
      <c r="K114" s="8" t="str">
        <f aca="false">IF(AA114="","",AA114/1000)</f>
        <v/>
      </c>
      <c r="L114" s="9"/>
      <c r="M114" s="9"/>
      <c r="N114" s="8"/>
      <c r="O114" s="9"/>
      <c r="P114" s="9"/>
      <c r="Q114" s="9"/>
      <c r="R114" s="9"/>
      <c r="S114" s="9"/>
      <c r="T114" s="9"/>
      <c r="U114" s="9"/>
      <c r="V114" s="9"/>
      <c r="W114" s="9"/>
      <c r="X114" s="9"/>
      <c r="Y114" s="9"/>
      <c r="Z114" s="9"/>
      <c r="AA114" s="9"/>
      <c r="AB114" s="9"/>
      <c r="AC114" s="9"/>
      <c r="AD114" s="9"/>
      <c r="AE114" s="9"/>
      <c r="AF114" s="9"/>
    </row>
    <row r="115" customFormat="false" ht="15" hidden="false" customHeight="false" outlineLevel="0" collapsed="false">
      <c r="A115" s="8"/>
      <c r="B115" s="8" t="str">
        <f aca="false">IF(D115="","",Y115)</f>
        <v/>
      </c>
      <c r="C115" s="8" t="str">
        <f aca="false">IF(D115="","",Y115&amp;"_"&amp;D115)</f>
        <v/>
      </c>
      <c r="D115" s="9"/>
      <c r="E115" s="8" t="str">
        <f aca="false">IF(D115="","",TRIM(D115&amp;" "&amp;Y115&amp;" "&amp;Z115&amp;" "&amp;IF(AA115="","",TEXT(AA115,"0.00")&amp;"g")&amp;" "&amp;AB115&amp;" "&amp;AF115&amp;IF(AC115="",""," Sz# "&amp;AC115)&amp;IF(AD115="Preloved"," [Preloved]","")))</f>
        <v/>
      </c>
      <c r="F115" s="8"/>
      <c r="G115" s="10"/>
      <c r="H115" s="10"/>
      <c r="I115" s="8" t="str">
        <f aca="false">IF(D115="","",1)</f>
        <v/>
      </c>
      <c r="J115" s="8"/>
      <c r="K115" s="8" t="str">
        <f aca="false">IF(AA115="","",AA115/1000)</f>
        <v/>
      </c>
      <c r="L115" s="9"/>
      <c r="M115" s="9"/>
      <c r="N115" s="8"/>
      <c r="O115" s="9"/>
      <c r="P115" s="9"/>
      <c r="Q115" s="9"/>
      <c r="R115" s="9"/>
      <c r="S115" s="9"/>
      <c r="T115" s="9"/>
      <c r="U115" s="9"/>
      <c r="V115" s="9"/>
      <c r="W115" s="9"/>
      <c r="X115" s="9"/>
      <c r="Y115" s="9"/>
      <c r="Z115" s="9"/>
      <c r="AA115" s="9"/>
      <c r="AB115" s="9"/>
      <c r="AC115" s="9"/>
      <c r="AD115" s="9"/>
      <c r="AE115" s="9"/>
      <c r="AF115" s="9"/>
    </row>
    <row r="116" customFormat="false" ht="15" hidden="false" customHeight="false" outlineLevel="0" collapsed="false">
      <c r="A116" s="8"/>
      <c r="B116" s="8" t="str">
        <f aca="false">IF(D116="","",Y116)</f>
        <v/>
      </c>
      <c r="C116" s="8" t="str">
        <f aca="false">IF(D116="","",Y116&amp;"_"&amp;D116)</f>
        <v/>
      </c>
      <c r="D116" s="9"/>
      <c r="E116" s="8" t="str">
        <f aca="false">IF(D116="","",TRIM(D116&amp;" "&amp;Y116&amp;" "&amp;Z116&amp;" "&amp;IF(AA116="","",TEXT(AA116,"0.00")&amp;"g")&amp;" "&amp;AB116&amp;" "&amp;AF116&amp;IF(AC116="",""," Sz# "&amp;AC116)&amp;IF(AD116="Preloved"," [Preloved]","")))</f>
        <v/>
      </c>
      <c r="F116" s="8"/>
      <c r="G116" s="10"/>
      <c r="H116" s="10"/>
      <c r="I116" s="8" t="str">
        <f aca="false">IF(D116="","",1)</f>
        <v/>
      </c>
      <c r="J116" s="8"/>
      <c r="K116" s="8" t="str">
        <f aca="false">IF(AA116="","",AA116/1000)</f>
        <v/>
      </c>
      <c r="L116" s="9"/>
      <c r="M116" s="9"/>
      <c r="N116" s="8"/>
      <c r="O116" s="9"/>
      <c r="P116" s="9"/>
      <c r="Q116" s="9"/>
      <c r="R116" s="9"/>
      <c r="S116" s="9"/>
      <c r="T116" s="9"/>
      <c r="U116" s="9"/>
      <c r="V116" s="9"/>
      <c r="W116" s="9"/>
      <c r="X116" s="9"/>
      <c r="Y116" s="9"/>
      <c r="Z116" s="9"/>
      <c r="AA116" s="9"/>
      <c r="AB116" s="9"/>
      <c r="AC116" s="9"/>
      <c r="AD116" s="9"/>
      <c r="AE116" s="9"/>
      <c r="AF116" s="9"/>
    </row>
    <row r="117" customFormat="false" ht="15" hidden="false" customHeight="false" outlineLevel="0" collapsed="false">
      <c r="A117" s="8"/>
      <c r="B117" s="8" t="str">
        <f aca="false">IF(D117="","",Y117)</f>
        <v/>
      </c>
      <c r="C117" s="8" t="str">
        <f aca="false">IF(D117="","",Y117&amp;"_"&amp;D117)</f>
        <v/>
      </c>
      <c r="D117" s="9"/>
      <c r="E117" s="8" t="str">
        <f aca="false">IF(D117="","",TRIM(D117&amp;" "&amp;Y117&amp;" "&amp;Z117&amp;" "&amp;IF(AA117="","",TEXT(AA117,"0.00")&amp;"g")&amp;" "&amp;AB117&amp;" "&amp;AF117&amp;IF(AC117="",""," Sz# "&amp;AC117)&amp;IF(AD117="Preloved"," [Preloved]","")))</f>
        <v/>
      </c>
      <c r="F117" s="8"/>
      <c r="G117" s="10"/>
      <c r="H117" s="10"/>
      <c r="I117" s="8" t="str">
        <f aca="false">IF(D117="","",1)</f>
        <v/>
      </c>
      <c r="J117" s="8"/>
      <c r="K117" s="8" t="str">
        <f aca="false">IF(AA117="","",AA117/1000)</f>
        <v/>
      </c>
      <c r="L117" s="9"/>
      <c r="M117" s="9"/>
      <c r="N117" s="8"/>
      <c r="O117" s="9"/>
      <c r="P117" s="9"/>
      <c r="Q117" s="9"/>
      <c r="R117" s="9"/>
      <c r="S117" s="9"/>
      <c r="T117" s="9"/>
      <c r="U117" s="9"/>
      <c r="V117" s="9"/>
      <c r="W117" s="9"/>
      <c r="X117" s="9"/>
      <c r="Y117" s="9"/>
      <c r="Z117" s="9"/>
      <c r="AA117" s="9"/>
      <c r="AB117" s="9"/>
      <c r="AC117" s="9"/>
      <c r="AD117" s="9"/>
      <c r="AE117" s="9"/>
      <c r="AF117" s="9"/>
    </row>
    <row r="118" customFormat="false" ht="15" hidden="false" customHeight="false" outlineLevel="0" collapsed="false">
      <c r="A118" s="8"/>
      <c r="B118" s="8" t="str">
        <f aca="false">IF(D118="","",Y118)</f>
        <v/>
      </c>
      <c r="C118" s="8" t="str">
        <f aca="false">IF(D118="","",Y118&amp;"_"&amp;D118)</f>
        <v/>
      </c>
      <c r="D118" s="9"/>
      <c r="E118" s="8" t="str">
        <f aca="false">IF(D118="","",TRIM(D118&amp;" "&amp;Y118&amp;" "&amp;Z118&amp;" "&amp;IF(AA118="","",TEXT(AA118,"0.00")&amp;"g")&amp;" "&amp;AB118&amp;" "&amp;AF118&amp;IF(AC118="",""," Sz# "&amp;AC118)&amp;IF(AD118="Preloved"," [Preloved]","")))</f>
        <v/>
      </c>
      <c r="F118" s="8"/>
      <c r="G118" s="10"/>
      <c r="H118" s="10"/>
      <c r="I118" s="8" t="str">
        <f aca="false">IF(D118="","",1)</f>
        <v/>
      </c>
      <c r="J118" s="8"/>
      <c r="K118" s="8" t="str">
        <f aca="false">IF(AA118="","",AA118/1000)</f>
        <v/>
      </c>
      <c r="L118" s="9"/>
      <c r="M118" s="9"/>
      <c r="N118" s="8"/>
      <c r="O118" s="9"/>
      <c r="P118" s="9"/>
      <c r="Q118" s="9"/>
      <c r="R118" s="9"/>
      <c r="S118" s="9"/>
      <c r="T118" s="9"/>
      <c r="U118" s="9"/>
      <c r="V118" s="9"/>
      <c r="W118" s="9"/>
      <c r="X118" s="9"/>
      <c r="Y118" s="9"/>
      <c r="Z118" s="9"/>
      <c r="AA118" s="9"/>
      <c r="AB118" s="9"/>
      <c r="AC118" s="9"/>
      <c r="AD118" s="9"/>
      <c r="AE118" s="9"/>
      <c r="AF118" s="9"/>
    </row>
    <row r="119" customFormat="false" ht="15" hidden="false" customHeight="false" outlineLevel="0" collapsed="false">
      <c r="A119" s="8"/>
      <c r="B119" s="8" t="str">
        <f aca="false">IF(D119="","",Y119)</f>
        <v/>
      </c>
      <c r="C119" s="8" t="str">
        <f aca="false">IF(D119="","",Y119&amp;"_"&amp;D119)</f>
        <v/>
      </c>
      <c r="D119" s="9"/>
      <c r="E119" s="8" t="str">
        <f aca="false">IF(D119="","",TRIM(D119&amp;" "&amp;Y119&amp;" "&amp;Z119&amp;" "&amp;IF(AA119="","",TEXT(AA119,"0.00")&amp;"g")&amp;" "&amp;AB119&amp;" "&amp;AF119&amp;IF(AC119="",""," Sz# "&amp;AC119)&amp;IF(AD119="Preloved"," [Preloved]","")))</f>
        <v/>
      </c>
      <c r="F119" s="8"/>
      <c r="G119" s="10"/>
      <c r="H119" s="10"/>
      <c r="I119" s="8" t="str">
        <f aca="false">IF(D119="","",1)</f>
        <v/>
      </c>
      <c r="J119" s="8"/>
      <c r="K119" s="8" t="str">
        <f aca="false">IF(AA119="","",AA119/1000)</f>
        <v/>
      </c>
      <c r="L119" s="9"/>
      <c r="M119" s="9"/>
      <c r="N119" s="8"/>
      <c r="O119" s="9"/>
      <c r="P119" s="9"/>
      <c r="Q119" s="9"/>
      <c r="R119" s="9"/>
      <c r="S119" s="9"/>
      <c r="T119" s="9"/>
      <c r="U119" s="9"/>
      <c r="V119" s="9"/>
      <c r="W119" s="9"/>
      <c r="X119" s="9"/>
      <c r="Y119" s="9"/>
      <c r="Z119" s="9"/>
      <c r="AA119" s="9"/>
      <c r="AB119" s="9"/>
      <c r="AC119" s="9"/>
      <c r="AD119" s="9"/>
      <c r="AE119" s="9"/>
      <c r="AF119" s="9"/>
    </row>
    <row r="120" customFormat="false" ht="15" hidden="false" customHeight="false" outlineLevel="0" collapsed="false">
      <c r="A120" s="8"/>
      <c r="B120" s="8" t="str">
        <f aca="false">IF(D120="","",Y120)</f>
        <v/>
      </c>
      <c r="C120" s="8" t="str">
        <f aca="false">IF(D120="","",Y120&amp;"_"&amp;D120)</f>
        <v/>
      </c>
      <c r="D120" s="9"/>
      <c r="E120" s="8" t="str">
        <f aca="false">IF(D120="","",TRIM(D120&amp;" "&amp;Y120&amp;" "&amp;Z120&amp;" "&amp;IF(AA120="","",TEXT(AA120,"0.00")&amp;"g")&amp;" "&amp;AB120&amp;" "&amp;AF120&amp;IF(AC120="",""," Sz# "&amp;AC120)&amp;IF(AD120="Preloved"," [Preloved]","")))</f>
        <v/>
      </c>
      <c r="F120" s="8"/>
      <c r="G120" s="10"/>
      <c r="H120" s="10"/>
      <c r="I120" s="8" t="str">
        <f aca="false">IF(D120="","",1)</f>
        <v/>
      </c>
      <c r="J120" s="8"/>
      <c r="K120" s="8" t="str">
        <f aca="false">IF(AA120="","",AA120/1000)</f>
        <v/>
      </c>
      <c r="L120" s="9"/>
      <c r="M120" s="9"/>
      <c r="N120" s="8"/>
      <c r="O120" s="9"/>
      <c r="P120" s="9"/>
      <c r="Q120" s="9"/>
      <c r="R120" s="9"/>
      <c r="S120" s="9"/>
      <c r="T120" s="9"/>
      <c r="U120" s="9"/>
      <c r="V120" s="9"/>
      <c r="W120" s="9"/>
      <c r="X120" s="9"/>
      <c r="Y120" s="9"/>
      <c r="Z120" s="9"/>
      <c r="AA120" s="9"/>
      <c r="AB120" s="9"/>
      <c r="AC120" s="9"/>
      <c r="AD120" s="9"/>
      <c r="AE120" s="9"/>
      <c r="AF120" s="9"/>
    </row>
    <row r="121" customFormat="false" ht="15" hidden="false" customHeight="false" outlineLevel="0" collapsed="false">
      <c r="A121" s="8"/>
      <c r="B121" s="8" t="str">
        <f aca="false">IF(D121="","",Y121)</f>
        <v/>
      </c>
      <c r="C121" s="8" t="str">
        <f aca="false">IF(D121="","",Y121&amp;"_"&amp;D121)</f>
        <v/>
      </c>
      <c r="D121" s="9"/>
      <c r="E121" s="8" t="str">
        <f aca="false">IF(D121="","",TRIM(D121&amp;" "&amp;Y121&amp;" "&amp;Z121&amp;" "&amp;IF(AA121="","",TEXT(AA121,"0.00")&amp;"g")&amp;" "&amp;AB121&amp;" "&amp;AF121&amp;IF(AC121="",""," Sz# "&amp;AC121)&amp;IF(AD121="Preloved"," [Preloved]","")))</f>
        <v/>
      </c>
      <c r="F121" s="8"/>
      <c r="G121" s="10"/>
      <c r="H121" s="10"/>
      <c r="I121" s="8" t="str">
        <f aca="false">IF(D121="","",1)</f>
        <v/>
      </c>
      <c r="J121" s="8"/>
      <c r="K121" s="8" t="str">
        <f aca="false">IF(AA121="","",AA121/1000)</f>
        <v/>
      </c>
      <c r="L121" s="9"/>
      <c r="M121" s="9"/>
      <c r="N121" s="8"/>
      <c r="O121" s="9"/>
      <c r="P121" s="9"/>
      <c r="Q121" s="9"/>
      <c r="R121" s="9"/>
      <c r="S121" s="9"/>
      <c r="T121" s="9"/>
      <c r="U121" s="9"/>
      <c r="V121" s="9"/>
      <c r="W121" s="9"/>
      <c r="X121" s="9"/>
      <c r="Y121" s="9"/>
      <c r="Z121" s="9"/>
      <c r="AA121" s="9"/>
      <c r="AB121" s="9"/>
      <c r="AC121" s="9"/>
      <c r="AD121" s="9"/>
      <c r="AE121" s="9"/>
      <c r="AF121" s="9"/>
    </row>
    <row r="122" customFormat="false" ht="15" hidden="false" customHeight="false" outlineLevel="0" collapsed="false">
      <c r="A122" s="8"/>
      <c r="B122" s="8" t="str">
        <f aca="false">IF(D122="","",Y122)</f>
        <v/>
      </c>
      <c r="C122" s="8" t="str">
        <f aca="false">IF(D122="","",Y122&amp;"_"&amp;D122)</f>
        <v/>
      </c>
      <c r="D122" s="9"/>
      <c r="E122" s="8" t="str">
        <f aca="false">IF(D122="","",TRIM(D122&amp;" "&amp;Y122&amp;" "&amp;Z122&amp;" "&amp;IF(AA122="","",TEXT(AA122,"0.00")&amp;"g")&amp;" "&amp;AB122&amp;" "&amp;AF122&amp;IF(AC122="",""," Sz# "&amp;AC122)&amp;IF(AD122="Preloved"," [Preloved]","")))</f>
        <v/>
      </c>
      <c r="F122" s="8"/>
      <c r="G122" s="10"/>
      <c r="H122" s="10"/>
      <c r="I122" s="8" t="str">
        <f aca="false">IF(D122="","",1)</f>
        <v/>
      </c>
      <c r="J122" s="8"/>
      <c r="K122" s="8" t="str">
        <f aca="false">IF(AA122="","",AA122/1000)</f>
        <v/>
      </c>
      <c r="L122" s="9"/>
      <c r="M122" s="9"/>
      <c r="N122" s="8"/>
      <c r="O122" s="9"/>
      <c r="P122" s="9"/>
      <c r="Q122" s="9"/>
      <c r="R122" s="9"/>
      <c r="S122" s="9"/>
      <c r="T122" s="9"/>
      <c r="U122" s="9"/>
      <c r="V122" s="9"/>
      <c r="W122" s="9"/>
      <c r="X122" s="9"/>
      <c r="Y122" s="9"/>
      <c r="Z122" s="9"/>
      <c r="AA122" s="9"/>
      <c r="AB122" s="9"/>
      <c r="AC122" s="9"/>
      <c r="AD122" s="9"/>
      <c r="AE122" s="9"/>
      <c r="AF122" s="9"/>
    </row>
    <row r="123" customFormat="false" ht="15" hidden="false" customHeight="false" outlineLevel="0" collapsed="false">
      <c r="A123" s="8"/>
      <c r="B123" s="8" t="str">
        <f aca="false">IF(D123="","",Y123)</f>
        <v/>
      </c>
      <c r="C123" s="8" t="str">
        <f aca="false">IF(D123="","",Y123&amp;"_"&amp;D123)</f>
        <v/>
      </c>
      <c r="D123" s="9"/>
      <c r="E123" s="8" t="str">
        <f aca="false">IF(D123="","",TRIM(D123&amp;" "&amp;Y123&amp;" "&amp;Z123&amp;" "&amp;IF(AA123="","",TEXT(AA123,"0.00")&amp;"g")&amp;" "&amp;AB123&amp;" "&amp;AF123&amp;IF(AC123="",""," Sz# "&amp;AC123)&amp;IF(AD123="Preloved"," [Preloved]","")))</f>
        <v/>
      </c>
      <c r="F123" s="8"/>
      <c r="G123" s="10"/>
      <c r="H123" s="10"/>
      <c r="I123" s="8" t="str">
        <f aca="false">IF(D123="","",1)</f>
        <v/>
      </c>
      <c r="J123" s="8"/>
      <c r="K123" s="8" t="str">
        <f aca="false">IF(AA123="","",AA123/1000)</f>
        <v/>
      </c>
      <c r="L123" s="9"/>
      <c r="M123" s="9"/>
      <c r="N123" s="8"/>
      <c r="O123" s="9"/>
      <c r="P123" s="9"/>
      <c r="Q123" s="9"/>
      <c r="R123" s="9"/>
      <c r="S123" s="9"/>
      <c r="T123" s="9"/>
      <c r="U123" s="9"/>
      <c r="V123" s="9"/>
      <c r="W123" s="9"/>
      <c r="X123" s="9"/>
      <c r="Y123" s="9"/>
      <c r="Z123" s="9"/>
      <c r="AA123" s="9"/>
      <c r="AB123" s="9"/>
      <c r="AC123" s="9"/>
      <c r="AD123" s="9"/>
      <c r="AE123" s="9"/>
      <c r="AF123" s="9"/>
    </row>
    <row r="124" customFormat="false" ht="15" hidden="false" customHeight="false" outlineLevel="0" collapsed="false">
      <c r="A124" s="8"/>
      <c r="B124" s="8" t="str">
        <f aca="false">IF(D124="","",Y124)</f>
        <v/>
      </c>
      <c r="C124" s="8" t="str">
        <f aca="false">IF(D124="","",Y124&amp;"_"&amp;D124)</f>
        <v/>
      </c>
      <c r="D124" s="9"/>
      <c r="E124" s="8" t="str">
        <f aca="false">IF(D124="","",TRIM(D124&amp;" "&amp;Y124&amp;" "&amp;Z124&amp;" "&amp;IF(AA124="","",TEXT(AA124,"0.00")&amp;"g")&amp;" "&amp;AB124&amp;" "&amp;AF124&amp;IF(AC124="",""," Sz# "&amp;AC124)&amp;IF(AD124="Preloved"," [Preloved]","")))</f>
        <v/>
      </c>
      <c r="F124" s="8"/>
      <c r="G124" s="10"/>
      <c r="H124" s="10"/>
      <c r="I124" s="8" t="str">
        <f aca="false">IF(D124="","",1)</f>
        <v/>
      </c>
      <c r="J124" s="8"/>
      <c r="K124" s="8" t="str">
        <f aca="false">IF(AA124="","",AA124/1000)</f>
        <v/>
      </c>
      <c r="L124" s="9"/>
      <c r="M124" s="9"/>
      <c r="N124" s="8"/>
      <c r="O124" s="9"/>
      <c r="P124" s="9"/>
      <c r="Q124" s="9"/>
      <c r="R124" s="9"/>
      <c r="S124" s="9"/>
      <c r="T124" s="9"/>
      <c r="U124" s="9"/>
      <c r="V124" s="9"/>
      <c r="W124" s="9"/>
      <c r="X124" s="9"/>
      <c r="Y124" s="9"/>
      <c r="Z124" s="9"/>
      <c r="AA124" s="9"/>
      <c r="AB124" s="9"/>
      <c r="AC124" s="9"/>
      <c r="AD124" s="9"/>
      <c r="AE124" s="9"/>
      <c r="AF124" s="9"/>
    </row>
    <row r="125" customFormat="false" ht="15" hidden="false" customHeight="false" outlineLevel="0" collapsed="false">
      <c r="A125" s="8"/>
      <c r="B125" s="8" t="str">
        <f aca="false">IF(D125="","",Y125)</f>
        <v/>
      </c>
      <c r="C125" s="8" t="str">
        <f aca="false">IF(D125="","",Y125&amp;"_"&amp;D125)</f>
        <v/>
      </c>
      <c r="D125" s="9"/>
      <c r="E125" s="8" t="str">
        <f aca="false">IF(D125="","",TRIM(D125&amp;" "&amp;Y125&amp;" "&amp;Z125&amp;" "&amp;IF(AA125="","",TEXT(AA125,"0.00")&amp;"g")&amp;" "&amp;AB125&amp;" "&amp;AF125&amp;IF(AC125="",""," Sz# "&amp;AC125)&amp;IF(AD125="Preloved"," [Preloved]","")))</f>
        <v/>
      </c>
      <c r="F125" s="8"/>
      <c r="G125" s="10"/>
      <c r="H125" s="10"/>
      <c r="I125" s="8" t="str">
        <f aca="false">IF(D125="","",1)</f>
        <v/>
      </c>
      <c r="J125" s="8"/>
      <c r="K125" s="8" t="str">
        <f aca="false">IF(AA125="","",AA125/1000)</f>
        <v/>
      </c>
      <c r="L125" s="9"/>
      <c r="M125" s="9"/>
      <c r="N125" s="8"/>
      <c r="O125" s="9"/>
      <c r="P125" s="9"/>
      <c r="Q125" s="9"/>
      <c r="R125" s="9"/>
      <c r="S125" s="9"/>
      <c r="T125" s="9"/>
      <c r="U125" s="9"/>
      <c r="V125" s="9"/>
      <c r="W125" s="9"/>
      <c r="X125" s="9"/>
      <c r="Y125" s="9"/>
      <c r="Z125" s="9"/>
      <c r="AA125" s="9"/>
      <c r="AB125" s="9"/>
      <c r="AC125" s="9"/>
      <c r="AD125" s="9"/>
      <c r="AE125" s="9"/>
      <c r="AF125" s="9"/>
    </row>
    <row r="126" customFormat="false" ht="15" hidden="false" customHeight="false" outlineLevel="0" collapsed="false">
      <c r="A126" s="8"/>
      <c r="B126" s="8" t="str">
        <f aca="false">IF(D126="","",Y126)</f>
        <v/>
      </c>
      <c r="C126" s="8" t="str">
        <f aca="false">IF(D126="","",Y126&amp;"_"&amp;D126)</f>
        <v/>
      </c>
      <c r="D126" s="9"/>
      <c r="E126" s="8" t="str">
        <f aca="false">IF(D126="","",TRIM(D126&amp;" "&amp;Y126&amp;" "&amp;Z126&amp;" "&amp;IF(AA126="","",TEXT(AA126,"0.00")&amp;"g")&amp;" "&amp;AB126&amp;" "&amp;AF126&amp;IF(AC126="",""," Sz# "&amp;AC126)&amp;IF(AD126="Preloved"," [Preloved]","")))</f>
        <v/>
      </c>
      <c r="F126" s="8"/>
      <c r="G126" s="10"/>
      <c r="H126" s="10"/>
      <c r="I126" s="8" t="str">
        <f aca="false">IF(D126="","",1)</f>
        <v/>
      </c>
      <c r="J126" s="8"/>
      <c r="K126" s="8" t="str">
        <f aca="false">IF(AA126="","",AA126/1000)</f>
        <v/>
      </c>
      <c r="L126" s="9"/>
      <c r="M126" s="9"/>
      <c r="N126" s="8"/>
      <c r="O126" s="9"/>
      <c r="P126" s="9"/>
      <c r="Q126" s="9"/>
      <c r="R126" s="9"/>
      <c r="S126" s="9"/>
      <c r="T126" s="9"/>
      <c r="U126" s="9"/>
      <c r="V126" s="9"/>
      <c r="W126" s="9"/>
      <c r="X126" s="9"/>
      <c r="Y126" s="9"/>
      <c r="Z126" s="9"/>
      <c r="AA126" s="9"/>
      <c r="AB126" s="9"/>
      <c r="AC126" s="9"/>
      <c r="AD126" s="9"/>
      <c r="AE126" s="9"/>
      <c r="AF126" s="9"/>
    </row>
    <row r="127" customFormat="false" ht="15" hidden="false" customHeight="false" outlineLevel="0" collapsed="false">
      <c r="A127" s="8"/>
      <c r="B127" s="8" t="str">
        <f aca="false">IF(D127="","",Y127)</f>
        <v/>
      </c>
      <c r="C127" s="8" t="str">
        <f aca="false">IF(D127="","",Y127&amp;"_"&amp;D127)</f>
        <v/>
      </c>
      <c r="D127" s="9"/>
      <c r="E127" s="8" t="str">
        <f aca="false">IF(D127="","",TRIM(D127&amp;" "&amp;Y127&amp;" "&amp;Z127&amp;" "&amp;IF(AA127="","",TEXT(AA127,"0.00")&amp;"g")&amp;" "&amp;AB127&amp;" "&amp;AF127&amp;IF(AC127="",""," Sz# "&amp;AC127)&amp;IF(AD127="Preloved"," [Preloved]","")))</f>
        <v/>
      </c>
      <c r="F127" s="8"/>
      <c r="G127" s="10"/>
      <c r="H127" s="10"/>
      <c r="I127" s="8" t="str">
        <f aca="false">IF(D127="","",1)</f>
        <v/>
      </c>
      <c r="J127" s="8"/>
      <c r="K127" s="8" t="str">
        <f aca="false">IF(AA127="","",AA127/1000)</f>
        <v/>
      </c>
      <c r="L127" s="9"/>
      <c r="M127" s="9"/>
      <c r="N127" s="8"/>
      <c r="O127" s="9"/>
      <c r="P127" s="9"/>
      <c r="Q127" s="9"/>
      <c r="R127" s="9"/>
      <c r="S127" s="9"/>
      <c r="T127" s="9"/>
      <c r="U127" s="9"/>
      <c r="V127" s="9"/>
      <c r="W127" s="9"/>
      <c r="X127" s="9"/>
      <c r="Y127" s="9"/>
      <c r="Z127" s="9"/>
      <c r="AA127" s="9"/>
      <c r="AB127" s="9"/>
      <c r="AC127" s="9"/>
      <c r="AD127" s="9"/>
      <c r="AE127" s="9"/>
      <c r="AF127" s="9"/>
    </row>
    <row r="128" customFormat="false" ht="15" hidden="false" customHeight="false" outlineLevel="0" collapsed="false">
      <c r="A128" s="8"/>
      <c r="B128" s="8" t="str">
        <f aca="false">IF(D128="","",Y128)</f>
        <v/>
      </c>
      <c r="C128" s="8" t="str">
        <f aca="false">IF(D128="","",Y128&amp;"_"&amp;D128)</f>
        <v/>
      </c>
      <c r="D128" s="9"/>
      <c r="E128" s="8" t="str">
        <f aca="false">IF(D128="","",TRIM(D128&amp;" "&amp;Y128&amp;" "&amp;Z128&amp;" "&amp;IF(AA128="","",TEXT(AA128,"0.00")&amp;"g")&amp;" "&amp;AB128&amp;" "&amp;AF128&amp;IF(AC128="",""," Sz# "&amp;AC128)&amp;IF(AD128="Preloved"," [Preloved]","")))</f>
        <v/>
      </c>
      <c r="F128" s="8"/>
      <c r="G128" s="10"/>
      <c r="H128" s="10"/>
      <c r="I128" s="8" t="str">
        <f aca="false">IF(D128="","",1)</f>
        <v/>
      </c>
      <c r="J128" s="8"/>
      <c r="K128" s="8" t="str">
        <f aca="false">IF(AA128="","",AA128/1000)</f>
        <v/>
      </c>
      <c r="L128" s="9"/>
      <c r="M128" s="9"/>
      <c r="N128" s="8"/>
      <c r="O128" s="9"/>
      <c r="P128" s="9"/>
      <c r="Q128" s="9"/>
      <c r="R128" s="9"/>
      <c r="S128" s="9"/>
      <c r="T128" s="9"/>
      <c r="U128" s="9"/>
      <c r="V128" s="9"/>
      <c r="W128" s="9"/>
      <c r="X128" s="9"/>
      <c r="Y128" s="9"/>
      <c r="Z128" s="9"/>
      <c r="AA128" s="9"/>
      <c r="AB128" s="9"/>
      <c r="AC128" s="9"/>
      <c r="AD128" s="9"/>
      <c r="AE128" s="9"/>
      <c r="AF128" s="9"/>
    </row>
    <row r="129" customFormat="false" ht="15" hidden="false" customHeight="false" outlineLevel="0" collapsed="false">
      <c r="A129" s="8"/>
      <c r="B129" s="8" t="str">
        <f aca="false">IF(D129="","",Y129)</f>
        <v/>
      </c>
      <c r="C129" s="8" t="str">
        <f aca="false">IF(D129="","",Y129&amp;"_"&amp;D129)</f>
        <v/>
      </c>
      <c r="D129" s="9"/>
      <c r="E129" s="8" t="str">
        <f aca="false">IF(D129="","",TRIM(D129&amp;" "&amp;Y129&amp;" "&amp;Z129&amp;" "&amp;IF(AA129="","",TEXT(AA129,"0.00")&amp;"g")&amp;" "&amp;AB129&amp;" "&amp;AF129&amp;IF(AC129="",""," Sz# "&amp;AC129)&amp;IF(AD129="Preloved"," [Preloved]","")))</f>
        <v/>
      </c>
      <c r="F129" s="8"/>
      <c r="G129" s="10"/>
      <c r="H129" s="10"/>
      <c r="I129" s="8" t="str">
        <f aca="false">IF(D129="","",1)</f>
        <v/>
      </c>
      <c r="J129" s="8"/>
      <c r="K129" s="8" t="str">
        <f aca="false">IF(AA129="","",AA129/1000)</f>
        <v/>
      </c>
      <c r="L129" s="9"/>
      <c r="M129" s="9"/>
      <c r="N129" s="8"/>
      <c r="O129" s="9"/>
      <c r="P129" s="9"/>
      <c r="Q129" s="9"/>
      <c r="R129" s="9"/>
      <c r="S129" s="9"/>
      <c r="T129" s="9"/>
      <c r="U129" s="9"/>
      <c r="V129" s="9"/>
      <c r="W129" s="9"/>
      <c r="X129" s="9"/>
      <c r="Y129" s="9"/>
      <c r="Z129" s="9"/>
      <c r="AA129" s="9"/>
      <c r="AB129" s="9"/>
      <c r="AC129" s="9"/>
      <c r="AD129" s="9"/>
      <c r="AE129" s="9"/>
      <c r="AF129" s="9"/>
    </row>
    <row r="130" customFormat="false" ht="15" hidden="false" customHeight="false" outlineLevel="0" collapsed="false">
      <c r="A130" s="8"/>
      <c r="B130" s="8" t="str">
        <f aca="false">IF(D130="","",Y130)</f>
        <v/>
      </c>
      <c r="C130" s="8" t="str">
        <f aca="false">IF(D130="","",Y130&amp;"_"&amp;D130)</f>
        <v/>
      </c>
      <c r="D130" s="9"/>
      <c r="E130" s="8" t="str">
        <f aca="false">IF(D130="","",TRIM(D130&amp;" "&amp;Y130&amp;" "&amp;Z130&amp;" "&amp;IF(AA130="","",TEXT(AA130,"0.00")&amp;"g")&amp;" "&amp;AB130&amp;" "&amp;AF130&amp;IF(AC130="",""," Sz# "&amp;AC130)&amp;IF(AD130="Preloved"," [Preloved]","")))</f>
        <v/>
      </c>
      <c r="F130" s="8"/>
      <c r="G130" s="10"/>
      <c r="H130" s="10"/>
      <c r="I130" s="8" t="str">
        <f aca="false">IF(D130="","",1)</f>
        <v/>
      </c>
      <c r="J130" s="8"/>
      <c r="K130" s="8" t="str">
        <f aca="false">IF(AA130="","",AA130/1000)</f>
        <v/>
      </c>
      <c r="L130" s="9"/>
      <c r="M130" s="9"/>
      <c r="N130" s="8"/>
      <c r="O130" s="9"/>
      <c r="P130" s="9"/>
      <c r="Q130" s="9"/>
      <c r="R130" s="9"/>
      <c r="S130" s="9"/>
      <c r="T130" s="9"/>
      <c r="U130" s="9"/>
      <c r="V130" s="9"/>
      <c r="W130" s="9"/>
      <c r="X130" s="9"/>
      <c r="Y130" s="9"/>
      <c r="Z130" s="9"/>
      <c r="AA130" s="9"/>
      <c r="AB130" s="9"/>
      <c r="AC130" s="9"/>
      <c r="AD130" s="9"/>
      <c r="AE130" s="9"/>
      <c r="AF130" s="9"/>
    </row>
    <row r="131" customFormat="false" ht="15" hidden="false" customHeight="false" outlineLevel="0" collapsed="false">
      <c r="A131" s="8"/>
      <c r="B131" s="8" t="str">
        <f aca="false">IF(D131="","",Y131)</f>
        <v/>
      </c>
      <c r="C131" s="8" t="str">
        <f aca="false">IF(D131="","",Y131&amp;"_"&amp;D131)</f>
        <v/>
      </c>
      <c r="D131" s="9"/>
      <c r="E131" s="8" t="str">
        <f aca="false">IF(D131="","",TRIM(D131&amp;" "&amp;Y131&amp;" "&amp;Z131&amp;" "&amp;IF(AA131="","",TEXT(AA131,"0.00")&amp;"g")&amp;" "&amp;AB131&amp;" "&amp;AF131&amp;IF(AC131="",""," Sz# "&amp;AC131)&amp;IF(AD131="Preloved"," [Preloved]","")))</f>
        <v/>
      </c>
      <c r="F131" s="8"/>
      <c r="G131" s="10"/>
      <c r="H131" s="10"/>
      <c r="I131" s="8" t="str">
        <f aca="false">IF(D131="","",1)</f>
        <v/>
      </c>
      <c r="J131" s="8"/>
      <c r="K131" s="8" t="str">
        <f aca="false">IF(AA131="","",AA131/1000)</f>
        <v/>
      </c>
      <c r="L131" s="9"/>
      <c r="M131" s="9"/>
      <c r="N131" s="8"/>
      <c r="O131" s="9"/>
      <c r="P131" s="9"/>
      <c r="Q131" s="9"/>
      <c r="R131" s="9"/>
      <c r="S131" s="9"/>
      <c r="T131" s="9"/>
      <c r="U131" s="9"/>
      <c r="V131" s="9"/>
      <c r="W131" s="9"/>
      <c r="X131" s="9"/>
      <c r="Y131" s="9"/>
      <c r="Z131" s="9"/>
      <c r="AA131" s="9"/>
      <c r="AB131" s="9"/>
      <c r="AC131" s="9"/>
      <c r="AD131" s="9"/>
      <c r="AE131" s="9"/>
      <c r="AF131" s="9"/>
    </row>
    <row r="132" customFormat="false" ht="15" hidden="false" customHeight="false" outlineLevel="0" collapsed="false">
      <c r="A132" s="8"/>
      <c r="B132" s="8" t="str">
        <f aca="false">IF(D132="","",Y132)</f>
        <v/>
      </c>
      <c r="C132" s="8" t="str">
        <f aca="false">IF(D132="","",Y132&amp;"_"&amp;D132)</f>
        <v/>
      </c>
      <c r="D132" s="9"/>
      <c r="E132" s="8" t="str">
        <f aca="false">IF(D132="","",TRIM(D132&amp;" "&amp;Y132&amp;" "&amp;Z132&amp;" "&amp;IF(AA132="","",TEXT(AA132,"0.00")&amp;"g")&amp;" "&amp;AB132&amp;" "&amp;AF132&amp;IF(AC132="",""," Sz# "&amp;AC132)&amp;IF(AD132="Preloved"," [Preloved]","")))</f>
        <v/>
      </c>
      <c r="F132" s="8"/>
      <c r="G132" s="10"/>
      <c r="H132" s="10"/>
      <c r="I132" s="8" t="str">
        <f aca="false">IF(D132="","",1)</f>
        <v/>
      </c>
      <c r="J132" s="8"/>
      <c r="K132" s="8" t="str">
        <f aca="false">IF(AA132="","",AA132/1000)</f>
        <v/>
      </c>
      <c r="L132" s="9"/>
      <c r="M132" s="9"/>
      <c r="N132" s="8"/>
      <c r="O132" s="9"/>
      <c r="P132" s="9"/>
      <c r="Q132" s="9"/>
      <c r="R132" s="9"/>
      <c r="S132" s="9"/>
      <c r="T132" s="9"/>
      <c r="U132" s="9"/>
      <c r="V132" s="9"/>
      <c r="W132" s="9"/>
      <c r="X132" s="9"/>
      <c r="Y132" s="9"/>
      <c r="Z132" s="9"/>
      <c r="AA132" s="9"/>
      <c r="AB132" s="9"/>
      <c r="AC132" s="9"/>
      <c r="AD132" s="9"/>
      <c r="AE132" s="9"/>
      <c r="AF132" s="9"/>
    </row>
    <row r="133" customFormat="false" ht="15" hidden="false" customHeight="false" outlineLevel="0" collapsed="false">
      <c r="A133" s="8"/>
      <c r="B133" s="8" t="str">
        <f aca="false">IF(D133="","",Y133)</f>
        <v/>
      </c>
      <c r="C133" s="8" t="str">
        <f aca="false">IF(D133="","",Y133&amp;"_"&amp;D133)</f>
        <v/>
      </c>
      <c r="D133" s="9"/>
      <c r="E133" s="8" t="str">
        <f aca="false">IF(D133="","",TRIM(D133&amp;" "&amp;Y133&amp;" "&amp;Z133&amp;" "&amp;IF(AA133="","",TEXT(AA133,"0.00")&amp;"g")&amp;" "&amp;AB133&amp;" "&amp;AF133&amp;IF(AC133="",""," Sz# "&amp;AC133)&amp;IF(AD133="Preloved"," [Preloved]","")))</f>
        <v/>
      </c>
      <c r="F133" s="8"/>
      <c r="G133" s="10"/>
      <c r="H133" s="10"/>
      <c r="I133" s="8" t="str">
        <f aca="false">IF(D133="","",1)</f>
        <v/>
      </c>
      <c r="J133" s="8"/>
      <c r="K133" s="8" t="str">
        <f aca="false">IF(AA133="","",AA133/1000)</f>
        <v/>
      </c>
      <c r="L133" s="9"/>
      <c r="M133" s="9"/>
      <c r="N133" s="8"/>
      <c r="O133" s="9"/>
      <c r="P133" s="9"/>
      <c r="Q133" s="9"/>
      <c r="R133" s="9"/>
      <c r="S133" s="9"/>
      <c r="T133" s="9"/>
      <c r="U133" s="9"/>
      <c r="V133" s="9"/>
      <c r="W133" s="9"/>
      <c r="X133" s="9"/>
      <c r="Y133" s="9"/>
      <c r="Z133" s="9"/>
      <c r="AA133" s="9"/>
      <c r="AB133" s="9"/>
      <c r="AC133" s="9"/>
      <c r="AD133" s="9"/>
      <c r="AE133" s="9"/>
      <c r="AF133" s="9"/>
    </row>
    <row r="134" customFormat="false" ht="15" hidden="false" customHeight="false" outlineLevel="0" collapsed="false">
      <c r="A134" s="8"/>
      <c r="B134" s="8" t="str">
        <f aca="false">IF(D134="","",Y134)</f>
        <v/>
      </c>
      <c r="C134" s="8" t="str">
        <f aca="false">IF(D134="","",Y134&amp;"_"&amp;D134)</f>
        <v/>
      </c>
      <c r="D134" s="9"/>
      <c r="E134" s="8" t="str">
        <f aca="false">IF(D134="","",TRIM(D134&amp;" "&amp;Y134&amp;" "&amp;Z134&amp;" "&amp;IF(AA134="","",TEXT(AA134,"0.00")&amp;"g")&amp;" "&amp;AB134&amp;" "&amp;AF134&amp;IF(AC134="",""," Sz# "&amp;AC134)&amp;IF(AD134="Preloved"," [Preloved]","")))</f>
        <v/>
      </c>
      <c r="F134" s="8"/>
      <c r="G134" s="10"/>
      <c r="H134" s="10"/>
      <c r="I134" s="8" t="str">
        <f aca="false">IF(D134="","",1)</f>
        <v/>
      </c>
      <c r="J134" s="8"/>
      <c r="K134" s="8" t="str">
        <f aca="false">IF(AA134="","",AA134/1000)</f>
        <v/>
      </c>
      <c r="L134" s="9"/>
      <c r="M134" s="9"/>
      <c r="N134" s="8"/>
      <c r="O134" s="9"/>
      <c r="P134" s="9"/>
      <c r="Q134" s="9"/>
      <c r="R134" s="9"/>
      <c r="S134" s="9"/>
      <c r="T134" s="9"/>
      <c r="U134" s="9"/>
      <c r="V134" s="9"/>
      <c r="W134" s="9"/>
      <c r="X134" s="9"/>
      <c r="Y134" s="9"/>
      <c r="Z134" s="9"/>
      <c r="AA134" s="9"/>
      <c r="AB134" s="9"/>
      <c r="AC134" s="9"/>
      <c r="AD134" s="9"/>
      <c r="AE134" s="9"/>
      <c r="AF134" s="9"/>
    </row>
    <row r="135" customFormat="false" ht="15" hidden="false" customHeight="false" outlineLevel="0" collapsed="false">
      <c r="A135" s="8"/>
      <c r="B135" s="8" t="str">
        <f aca="false">IF(D135="","",Y135)</f>
        <v/>
      </c>
      <c r="C135" s="8" t="str">
        <f aca="false">IF(D135="","",Y135&amp;"_"&amp;D135)</f>
        <v/>
      </c>
      <c r="D135" s="9"/>
      <c r="E135" s="8" t="str">
        <f aca="false">IF(D135="","",TRIM(D135&amp;" "&amp;Y135&amp;" "&amp;Z135&amp;" "&amp;IF(AA135="","",TEXT(AA135,"0.00")&amp;"g")&amp;" "&amp;AB135&amp;" "&amp;AF135&amp;IF(AC135="",""," Sz# "&amp;AC135)&amp;IF(AD135="Preloved"," [Preloved]","")))</f>
        <v/>
      </c>
      <c r="F135" s="8"/>
      <c r="G135" s="10"/>
      <c r="H135" s="10"/>
      <c r="I135" s="8" t="str">
        <f aca="false">IF(D135="","",1)</f>
        <v/>
      </c>
      <c r="J135" s="8"/>
      <c r="K135" s="8" t="str">
        <f aca="false">IF(AA135="","",AA135/1000)</f>
        <v/>
      </c>
      <c r="L135" s="9"/>
      <c r="M135" s="9"/>
      <c r="N135" s="8"/>
      <c r="O135" s="9"/>
      <c r="P135" s="9"/>
      <c r="Q135" s="9"/>
      <c r="R135" s="9"/>
      <c r="S135" s="9"/>
      <c r="T135" s="9"/>
      <c r="U135" s="9"/>
      <c r="V135" s="9"/>
      <c r="W135" s="9"/>
      <c r="X135" s="9"/>
      <c r="Y135" s="9"/>
      <c r="Z135" s="9"/>
      <c r="AA135" s="9"/>
      <c r="AB135" s="9"/>
      <c r="AC135" s="9"/>
      <c r="AD135" s="9"/>
      <c r="AE135" s="9"/>
      <c r="AF135" s="9"/>
    </row>
    <row r="136" customFormat="false" ht="15" hidden="false" customHeight="false" outlineLevel="0" collapsed="false">
      <c r="A136" s="8"/>
      <c r="B136" s="8" t="str">
        <f aca="false">IF(D136="","",Y136)</f>
        <v/>
      </c>
      <c r="C136" s="8" t="str">
        <f aca="false">IF(D136="","",Y136&amp;"_"&amp;D136)</f>
        <v/>
      </c>
      <c r="D136" s="9"/>
      <c r="E136" s="8" t="str">
        <f aca="false">IF(D136="","",TRIM(D136&amp;" "&amp;Y136&amp;" "&amp;Z136&amp;" "&amp;IF(AA136="","",TEXT(AA136,"0.00")&amp;"g")&amp;" "&amp;AB136&amp;" "&amp;AF136&amp;IF(AC136="",""," Sz# "&amp;AC136)&amp;IF(AD136="Preloved"," [Preloved]","")))</f>
        <v/>
      </c>
      <c r="F136" s="8"/>
      <c r="G136" s="10"/>
      <c r="H136" s="10"/>
      <c r="I136" s="8" t="str">
        <f aca="false">IF(D136="","",1)</f>
        <v/>
      </c>
      <c r="J136" s="8"/>
      <c r="K136" s="8" t="str">
        <f aca="false">IF(AA136="","",AA136/1000)</f>
        <v/>
      </c>
      <c r="L136" s="9"/>
      <c r="M136" s="9"/>
      <c r="N136" s="8"/>
      <c r="O136" s="9"/>
      <c r="P136" s="9"/>
      <c r="Q136" s="9"/>
      <c r="R136" s="9"/>
      <c r="S136" s="9"/>
      <c r="T136" s="9"/>
      <c r="U136" s="9"/>
      <c r="V136" s="9"/>
      <c r="W136" s="9"/>
      <c r="X136" s="9"/>
      <c r="Y136" s="9"/>
      <c r="Z136" s="9"/>
      <c r="AA136" s="9"/>
      <c r="AB136" s="9"/>
      <c r="AC136" s="9"/>
      <c r="AD136" s="9"/>
      <c r="AE136" s="9"/>
      <c r="AF136" s="9"/>
    </row>
    <row r="137" customFormat="false" ht="15" hidden="false" customHeight="false" outlineLevel="0" collapsed="false">
      <c r="A137" s="8"/>
      <c r="B137" s="8" t="str">
        <f aca="false">IF(D137="","",Y137)</f>
        <v/>
      </c>
      <c r="C137" s="8" t="str">
        <f aca="false">IF(D137="","",Y137&amp;"_"&amp;D137)</f>
        <v/>
      </c>
      <c r="D137" s="9"/>
      <c r="E137" s="8" t="str">
        <f aca="false">IF(D137="","",TRIM(D137&amp;" "&amp;Y137&amp;" "&amp;Z137&amp;" "&amp;IF(AA137="","",TEXT(AA137,"0.00")&amp;"g")&amp;" "&amp;AB137&amp;" "&amp;AF137&amp;IF(AC137="",""," Sz# "&amp;AC137)&amp;IF(AD137="Preloved"," [Preloved]","")))</f>
        <v/>
      </c>
      <c r="F137" s="8"/>
      <c r="G137" s="10"/>
      <c r="H137" s="10"/>
      <c r="I137" s="8" t="str">
        <f aca="false">IF(D137="","",1)</f>
        <v/>
      </c>
      <c r="J137" s="8"/>
      <c r="K137" s="8" t="str">
        <f aca="false">IF(AA137="","",AA137/1000)</f>
        <v/>
      </c>
      <c r="L137" s="9"/>
      <c r="M137" s="9"/>
      <c r="N137" s="8"/>
      <c r="O137" s="9"/>
      <c r="P137" s="9"/>
      <c r="Q137" s="9"/>
      <c r="R137" s="9"/>
      <c r="S137" s="9"/>
      <c r="T137" s="9"/>
      <c r="U137" s="9"/>
      <c r="V137" s="9"/>
      <c r="W137" s="9"/>
      <c r="X137" s="9"/>
      <c r="Y137" s="9"/>
      <c r="Z137" s="9"/>
      <c r="AA137" s="9"/>
      <c r="AB137" s="9"/>
      <c r="AC137" s="9"/>
      <c r="AD137" s="9"/>
      <c r="AE137" s="9"/>
      <c r="AF137" s="9"/>
    </row>
    <row r="138" customFormat="false" ht="15" hidden="false" customHeight="false" outlineLevel="0" collapsed="false">
      <c r="A138" s="8"/>
      <c r="B138" s="8" t="str">
        <f aca="false">IF(D138="","",Y138)</f>
        <v/>
      </c>
      <c r="C138" s="8" t="str">
        <f aca="false">IF(D138="","",Y138&amp;"_"&amp;D138)</f>
        <v/>
      </c>
      <c r="D138" s="9"/>
      <c r="E138" s="8" t="str">
        <f aca="false">IF(D138="","",TRIM(D138&amp;" "&amp;Y138&amp;" "&amp;Z138&amp;" "&amp;IF(AA138="","",TEXT(AA138,"0.00")&amp;"g")&amp;" "&amp;AB138&amp;" "&amp;AF138&amp;IF(AC138="",""," Sz# "&amp;AC138)&amp;IF(AD138="Preloved"," [Preloved]","")))</f>
        <v/>
      </c>
      <c r="F138" s="8"/>
      <c r="G138" s="10"/>
      <c r="H138" s="10"/>
      <c r="I138" s="8" t="str">
        <f aca="false">IF(D138="","",1)</f>
        <v/>
      </c>
      <c r="J138" s="8"/>
      <c r="K138" s="8" t="str">
        <f aca="false">IF(AA138="","",AA138/1000)</f>
        <v/>
      </c>
      <c r="L138" s="9"/>
      <c r="M138" s="9"/>
      <c r="N138" s="8"/>
      <c r="O138" s="9"/>
      <c r="P138" s="9"/>
      <c r="Q138" s="9"/>
      <c r="R138" s="9"/>
      <c r="S138" s="9"/>
      <c r="T138" s="9"/>
      <c r="U138" s="9"/>
      <c r="V138" s="9"/>
      <c r="W138" s="9"/>
      <c r="X138" s="9"/>
      <c r="Y138" s="9"/>
      <c r="Z138" s="9"/>
      <c r="AA138" s="9"/>
      <c r="AB138" s="9"/>
      <c r="AC138" s="9"/>
      <c r="AD138" s="9"/>
      <c r="AE138" s="9"/>
      <c r="AF138" s="9"/>
    </row>
    <row r="139" customFormat="false" ht="15" hidden="false" customHeight="false" outlineLevel="0" collapsed="false">
      <c r="A139" s="8"/>
      <c r="B139" s="8" t="str">
        <f aca="false">IF(D139="","",Y139)</f>
        <v/>
      </c>
      <c r="C139" s="8" t="str">
        <f aca="false">IF(D139="","",Y139&amp;"_"&amp;D139)</f>
        <v/>
      </c>
      <c r="D139" s="9"/>
      <c r="E139" s="8" t="str">
        <f aca="false">IF(D139="","",TRIM(D139&amp;" "&amp;Y139&amp;" "&amp;Z139&amp;" "&amp;IF(AA139="","",TEXT(AA139,"0.00")&amp;"g")&amp;" "&amp;AB139&amp;" "&amp;AF139&amp;IF(AC139="",""," Sz# "&amp;AC139)&amp;IF(AD139="Preloved"," [Preloved]","")))</f>
        <v/>
      </c>
      <c r="F139" s="8"/>
      <c r="G139" s="10"/>
      <c r="H139" s="10"/>
      <c r="I139" s="8" t="str">
        <f aca="false">IF(D139="","",1)</f>
        <v/>
      </c>
      <c r="J139" s="8"/>
      <c r="K139" s="8" t="str">
        <f aca="false">IF(AA139="","",AA139/1000)</f>
        <v/>
      </c>
      <c r="L139" s="9"/>
      <c r="M139" s="9"/>
      <c r="N139" s="8"/>
      <c r="O139" s="9"/>
      <c r="P139" s="9"/>
      <c r="Q139" s="9"/>
      <c r="R139" s="9"/>
      <c r="S139" s="9"/>
      <c r="T139" s="9"/>
      <c r="U139" s="9"/>
      <c r="V139" s="9"/>
      <c r="W139" s="9"/>
      <c r="X139" s="9"/>
      <c r="Y139" s="9"/>
      <c r="Z139" s="9"/>
      <c r="AA139" s="9"/>
      <c r="AB139" s="9"/>
      <c r="AC139" s="9"/>
      <c r="AD139" s="9"/>
      <c r="AE139" s="9"/>
      <c r="AF139" s="9"/>
    </row>
    <row r="140" customFormat="false" ht="15" hidden="false" customHeight="false" outlineLevel="0" collapsed="false">
      <c r="A140" s="8"/>
      <c r="B140" s="8" t="str">
        <f aca="false">IF(D140="","",Y140)</f>
        <v/>
      </c>
      <c r="C140" s="8" t="str">
        <f aca="false">IF(D140="","",Y140&amp;"_"&amp;D140)</f>
        <v/>
      </c>
      <c r="D140" s="9"/>
      <c r="E140" s="8" t="str">
        <f aca="false">IF(D140="","",TRIM(D140&amp;" "&amp;Y140&amp;" "&amp;Z140&amp;" "&amp;IF(AA140="","",TEXT(AA140,"0.00")&amp;"g")&amp;" "&amp;AB140&amp;" "&amp;AF140&amp;IF(AC140="",""," Sz# "&amp;AC140)&amp;IF(AD140="Preloved"," [Preloved]","")))</f>
        <v/>
      </c>
      <c r="F140" s="8"/>
      <c r="G140" s="10"/>
      <c r="H140" s="10"/>
      <c r="I140" s="8" t="str">
        <f aca="false">IF(D140="","",1)</f>
        <v/>
      </c>
      <c r="J140" s="8"/>
      <c r="K140" s="8" t="str">
        <f aca="false">IF(AA140="","",AA140/1000)</f>
        <v/>
      </c>
      <c r="L140" s="9"/>
      <c r="M140" s="9"/>
      <c r="N140" s="8"/>
      <c r="O140" s="9"/>
      <c r="P140" s="9"/>
      <c r="Q140" s="9"/>
      <c r="R140" s="9"/>
      <c r="S140" s="9"/>
      <c r="T140" s="9"/>
      <c r="U140" s="9"/>
      <c r="V140" s="9"/>
      <c r="W140" s="9"/>
      <c r="X140" s="9"/>
      <c r="Y140" s="9"/>
      <c r="Z140" s="9"/>
      <c r="AA140" s="9"/>
      <c r="AB140" s="9"/>
      <c r="AC140" s="9"/>
      <c r="AD140" s="9"/>
      <c r="AE140" s="9"/>
      <c r="AF140" s="9"/>
    </row>
    <row r="141" customFormat="false" ht="15" hidden="false" customHeight="false" outlineLevel="0" collapsed="false">
      <c r="A141" s="8"/>
      <c r="B141" s="8" t="str">
        <f aca="false">IF(D141="","",Y141)</f>
        <v/>
      </c>
      <c r="C141" s="8" t="str">
        <f aca="false">IF(D141="","",Y141&amp;"_"&amp;D141)</f>
        <v/>
      </c>
      <c r="D141" s="9"/>
      <c r="E141" s="8" t="str">
        <f aca="false">IF(D141="","",TRIM(D141&amp;" "&amp;Y141&amp;" "&amp;Z141&amp;" "&amp;IF(AA141="","",TEXT(AA141,"0.00")&amp;"g")&amp;" "&amp;AB141&amp;" "&amp;AF141&amp;IF(AC141="",""," Sz# "&amp;AC141)&amp;IF(AD141="Preloved"," [Preloved]","")))</f>
        <v/>
      </c>
      <c r="F141" s="8"/>
      <c r="G141" s="10"/>
      <c r="H141" s="10"/>
      <c r="I141" s="8" t="str">
        <f aca="false">IF(D141="","",1)</f>
        <v/>
      </c>
      <c r="J141" s="8"/>
      <c r="K141" s="8" t="str">
        <f aca="false">IF(AA141="","",AA141/1000)</f>
        <v/>
      </c>
      <c r="L141" s="9"/>
      <c r="M141" s="9"/>
      <c r="N141" s="8"/>
      <c r="O141" s="9"/>
      <c r="P141" s="9"/>
      <c r="Q141" s="9"/>
      <c r="R141" s="9"/>
      <c r="S141" s="9"/>
      <c r="T141" s="9"/>
      <c r="U141" s="9"/>
      <c r="V141" s="9"/>
      <c r="W141" s="9"/>
      <c r="X141" s="9"/>
      <c r="Y141" s="9"/>
      <c r="Z141" s="9"/>
      <c r="AA141" s="9"/>
      <c r="AB141" s="9"/>
      <c r="AC141" s="9"/>
      <c r="AD141" s="9"/>
      <c r="AE141" s="9"/>
      <c r="AF141" s="9"/>
    </row>
    <row r="142" customFormat="false" ht="15" hidden="false" customHeight="false" outlineLevel="0" collapsed="false">
      <c r="A142" s="8"/>
      <c r="B142" s="8" t="str">
        <f aca="false">IF(D142="","",Y142)</f>
        <v/>
      </c>
      <c r="C142" s="8" t="str">
        <f aca="false">IF(D142="","",Y142&amp;"_"&amp;D142)</f>
        <v/>
      </c>
      <c r="D142" s="9"/>
      <c r="E142" s="8" t="str">
        <f aca="false">IF(D142="","",TRIM(D142&amp;" "&amp;Y142&amp;" "&amp;Z142&amp;" "&amp;IF(AA142="","",TEXT(AA142,"0.00")&amp;"g")&amp;" "&amp;AB142&amp;" "&amp;AF142&amp;IF(AC142="",""," Sz# "&amp;AC142)&amp;IF(AD142="Preloved"," [Preloved]","")))</f>
        <v/>
      </c>
      <c r="F142" s="8"/>
      <c r="G142" s="10"/>
      <c r="H142" s="10"/>
      <c r="I142" s="8" t="str">
        <f aca="false">IF(D142="","",1)</f>
        <v/>
      </c>
      <c r="J142" s="8"/>
      <c r="K142" s="8" t="str">
        <f aca="false">IF(AA142="","",AA142/1000)</f>
        <v/>
      </c>
      <c r="L142" s="9"/>
      <c r="M142" s="9"/>
      <c r="N142" s="8"/>
      <c r="O142" s="9"/>
      <c r="P142" s="9"/>
      <c r="Q142" s="9"/>
      <c r="R142" s="9"/>
      <c r="S142" s="9"/>
      <c r="T142" s="9"/>
      <c r="U142" s="9"/>
      <c r="V142" s="9"/>
      <c r="W142" s="9"/>
      <c r="X142" s="9"/>
      <c r="Y142" s="9"/>
      <c r="Z142" s="9"/>
      <c r="AA142" s="9"/>
      <c r="AB142" s="9"/>
      <c r="AC142" s="9"/>
      <c r="AD142" s="9"/>
      <c r="AE142" s="9"/>
      <c r="AF142" s="9"/>
    </row>
    <row r="143" customFormat="false" ht="15" hidden="false" customHeight="false" outlineLevel="0" collapsed="false">
      <c r="A143" s="8"/>
      <c r="B143" s="8" t="str">
        <f aca="false">IF(D143="","",Y143)</f>
        <v/>
      </c>
      <c r="C143" s="8" t="str">
        <f aca="false">IF(D143="","",Y143&amp;"_"&amp;D143)</f>
        <v/>
      </c>
      <c r="D143" s="9"/>
      <c r="E143" s="8" t="str">
        <f aca="false">IF(D143="","",TRIM(D143&amp;" "&amp;Y143&amp;" "&amp;Z143&amp;" "&amp;IF(AA143="","",TEXT(AA143,"0.00")&amp;"g")&amp;" "&amp;AB143&amp;" "&amp;AF143&amp;IF(AC143="",""," Sz# "&amp;AC143)&amp;IF(AD143="Preloved"," [Preloved]","")))</f>
        <v/>
      </c>
      <c r="F143" s="8"/>
      <c r="G143" s="10"/>
      <c r="H143" s="10"/>
      <c r="I143" s="8" t="str">
        <f aca="false">IF(D143="","",1)</f>
        <v/>
      </c>
      <c r="J143" s="8"/>
      <c r="K143" s="8" t="str">
        <f aca="false">IF(AA143="","",AA143/1000)</f>
        <v/>
      </c>
      <c r="L143" s="9"/>
      <c r="M143" s="9"/>
      <c r="N143" s="8"/>
      <c r="O143" s="9"/>
      <c r="P143" s="9"/>
      <c r="Q143" s="9"/>
      <c r="R143" s="9"/>
      <c r="S143" s="9"/>
      <c r="T143" s="9"/>
      <c r="U143" s="9"/>
      <c r="V143" s="9"/>
      <c r="W143" s="9"/>
      <c r="X143" s="9"/>
      <c r="Y143" s="9"/>
      <c r="Z143" s="9"/>
      <c r="AA143" s="9"/>
      <c r="AB143" s="9"/>
      <c r="AC143" s="9"/>
      <c r="AD143" s="9"/>
      <c r="AE143" s="9"/>
      <c r="AF143" s="9"/>
    </row>
    <row r="144" customFormat="false" ht="15" hidden="false" customHeight="false" outlineLevel="0" collapsed="false">
      <c r="A144" s="8"/>
      <c r="B144" s="8" t="str">
        <f aca="false">IF(D144="","",Y144)</f>
        <v/>
      </c>
      <c r="C144" s="8" t="str">
        <f aca="false">IF(D144="","",Y144&amp;"_"&amp;D144)</f>
        <v/>
      </c>
      <c r="D144" s="9"/>
      <c r="E144" s="8" t="str">
        <f aca="false">IF(D144="","",TRIM(D144&amp;" "&amp;Y144&amp;" "&amp;Z144&amp;" "&amp;IF(AA144="","",TEXT(AA144,"0.00")&amp;"g")&amp;" "&amp;AB144&amp;" "&amp;AF144&amp;IF(AC144="",""," Sz# "&amp;AC144)&amp;IF(AD144="Preloved"," [Preloved]","")))</f>
        <v/>
      </c>
      <c r="F144" s="8"/>
      <c r="G144" s="10"/>
      <c r="H144" s="10"/>
      <c r="I144" s="8" t="str">
        <f aca="false">IF(D144="","",1)</f>
        <v/>
      </c>
      <c r="J144" s="8"/>
      <c r="K144" s="8" t="str">
        <f aca="false">IF(AA144="","",AA144/1000)</f>
        <v/>
      </c>
      <c r="L144" s="9"/>
      <c r="M144" s="9"/>
      <c r="N144" s="8"/>
      <c r="O144" s="9"/>
      <c r="P144" s="9"/>
      <c r="Q144" s="9"/>
      <c r="R144" s="9"/>
      <c r="S144" s="9"/>
      <c r="T144" s="9"/>
      <c r="U144" s="9"/>
      <c r="V144" s="9"/>
      <c r="W144" s="9"/>
      <c r="X144" s="9"/>
      <c r="Y144" s="9"/>
      <c r="Z144" s="9"/>
      <c r="AA144" s="9"/>
      <c r="AB144" s="9"/>
      <c r="AC144" s="9"/>
      <c r="AD144" s="9"/>
      <c r="AE144" s="9"/>
      <c r="AF144" s="9"/>
    </row>
    <row r="145" customFormat="false" ht="15" hidden="false" customHeight="false" outlineLevel="0" collapsed="false">
      <c r="A145" s="8"/>
      <c r="B145" s="8" t="str">
        <f aca="false">IF(D145="","",Y145)</f>
        <v/>
      </c>
      <c r="C145" s="8" t="str">
        <f aca="false">IF(D145="","",Y145&amp;"_"&amp;D145)</f>
        <v/>
      </c>
      <c r="D145" s="9"/>
      <c r="E145" s="8" t="str">
        <f aca="false">IF(D145="","",TRIM(D145&amp;" "&amp;Y145&amp;" "&amp;Z145&amp;" "&amp;IF(AA145="","",TEXT(AA145,"0.00")&amp;"g")&amp;" "&amp;AB145&amp;" "&amp;AF145&amp;IF(AC145="",""," Sz# "&amp;AC145)&amp;IF(AD145="Preloved"," [Preloved]","")))</f>
        <v/>
      </c>
      <c r="F145" s="8"/>
      <c r="G145" s="10"/>
      <c r="H145" s="10"/>
      <c r="I145" s="8" t="str">
        <f aca="false">IF(D145="","",1)</f>
        <v/>
      </c>
      <c r="J145" s="8"/>
      <c r="K145" s="8" t="str">
        <f aca="false">IF(AA145="","",AA145/1000)</f>
        <v/>
      </c>
      <c r="L145" s="9"/>
      <c r="M145" s="9"/>
      <c r="N145" s="8"/>
      <c r="O145" s="9"/>
      <c r="P145" s="9"/>
      <c r="Q145" s="9"/>
      <c r="R145" s="9"/>
      <c r="S145" s="9"/>
      <c r="T145" s="9"/>
      <c r="U145" s="9"/>
      <c r="V145" s="9"/>
      <c r="W145" s="9"/>
      <c r="X145" s="9"/>
      <c r="Y145" s="9"/>
      <c r="Z145" s="9"/>
      <c r="AA145" s="9"/>
      <c r="AB145" s="9"/>
      <c r="AC145" s="9"/>
      <c r="AD145" s="9"/>
      <c r="AE145" s="9"/>
      <c r="AF145" s="9"/>
    </row>
    <row r="146" customFormat="false" ht="15" hidden="false" customHeight="false" outlineLevel="0" collapsed="false">
      <c r="A146" s="8"/>
      <c r="B146" s="8" t="str">
        <f aca="false">IF(D146="","",Y146)</f>
        <v/>
      </c>
      <c r="C146" s="8" t="str">
        <f aca="false">IF(D146="","",Y146&amp;"_"&amp;D146)</f>
        <v/>
      </c>
      <c r="D146" s="9"/>
      <c r="E146" s="8" t="str">
        <f aca="false">IF(D146="","",TRIM(D146&amp;" "&amp;Y146&amp;" "&amp;Z146&amp;" "&amp;IF(AA146="","",TEXT(AA146,"0.00")&amp;"g")&amp;" "&amp;AB146&amp;" "&amp;AF146&amp;IF(AC146="",""," Sz# "&amp;AC146)&amp;IF(AD146="Preloved"," [Preloved]","")))</f>
        <v/>
      </c>
      <c r="F146" s="8"/>
      <c r="G146" s="10"/>
      <c r="H146" s="10"/>
      <c r="I146" s="8" t="str">
        <f aca="false">IF(D146="","",1)</f>
        <v/>
      </c>
      <c r="J146" s="8"/>
      <c r="K146" s="8" t="str">
        <f aca="false">IF(AA146="","",AA146/1000)</f>
        <v/>
      </c>
      <c r="L146" s="9"/>
      <c r="M146" s="9"/>
      <c r="N146" s="8"/>
      <c r="O146" s="9"/>
      <c r="P146" s="9"/>
      <c r="Q146" s="9"/>
      <c r="R146" s="9"/>
      <c r="S146" s="9"/>
      <c r="T146" s="9"/>
      <c r="U146" s="9"/>
      <c r="V146" s="9"/>
      <c r="W146" s="9"/>
      <c r="X146" s="9"/>
      <c r="Y146" s="9"/>
      <c r="Z146" s="9"/>
      <c r="AA146" s="9"/>
      <c r="AB146" s="9"/>
      <c r="AC146" s="9"/>
      <c r="AD146" s="9"/>
      <c r="AE146" s="9"/>
      <c r="AF146" s="9"/>
    </row>
    <row r="147" customFormat="false" ht="15" hidden="false" customHeight="false" outlineLevel="0" collapsed="false">
      <c r="A147" s="8"/>
      <c r="B147" s="8" t="str">
        <f aca="false">IF(D147="","",Y147)</f>
        <v/>
      </c>
      <c r="C147" s="8" t="str">
        <f aca="false">IF(D147="","",Y147&amp;"_"&amp;D147)</f>
        <v/>
      </c>
      <c r="D147" s="9"/>
      <c r="E147" s="8" t="str">
        <f aca="false">IF(D147="","",TRIM(D147&amp;" "&amp;Y147&amp;" "&amp;Z147&amp;" "&amp;IF(AA147="","",TEXT(AA147,"0.00")&amp;"g")&amp;" "&amp;AB147&amp;" "&amp;AF147&amp;IF(AC147="",""," Sz# "&amp;AC147)&amp;IF(AD147="Preloved"," [Preloved]","")))</f>
        <v/>
      </c>
      <c r="F147" s="8"/>
      <c r="G147" s="10"/>
      <c r="H147" s="10"/>
      <c r="I147" s="8" t="str">
        <f aca="false">IF(D147="","",1)</f>
        <v/>
      </c>
      <c r="J147" s="8"/>
      <c r="K147" s="8" t="str">
        <f aca="false">IF(AA147="","",AA147/1000)</f>
        <v/>
      </c>
      <c r="L147" s="9"/>
      <c r="M147" s="9"/>
      <c r="N147" s="8"/>
      <c r="O147" s="9"/>
      <c r="P147" s="9"/>
      <c r="Q147" s="9"/>
      <c r="R147" s="9"/>
      <c r="S147" s="9"/>
      <c r="T147" s="9"/>
      <c r="U147" s="9"/>
      <c r="V147" s="9"/>
      <c r="W147" s="9"/>
      <c r="X147" s="9"/>
      <c r="Y147" s="9"/>
      <c r="Z147" s="9"/>
      <c r="AA147" s="9"/>
      <c r="AB147" s="9"/>
      <c r="AC147" s="9"/>
      <c r="AD147" s="9"/>
      <c r="AE147" s="9"/>
      <c r="AF147" s="9"/>
    </row>
    <row r="148" customFormat="false" ht="15" hidden="false" customHeight="false" outlineLevel="0" collapsed="false">
      <c r="A148" s="8"/>
      <c r="B148" s="8" t="str">
        <f aca="false">IF(D148="","",Y148)</f>
        <v/>
      </c>
      <c r="C148" s="8" t="str">
        <f aca="false">IF(D148="","",Y148&amp;"_"&amp;D148)</f>
        <v/>
      </c>
      <c r="D148" s="9"/>
      <c r="E148" s="8" t="str">
        <f aca="false">IF(D148="","",TRIM(D148&amp;" "&amp;Y148&amp;" "&amp;Z148&amp;" "&amp;IF(AA148="","",TEXT(AA148,"0.00")&amp;"g")&amp;" "&amp;AB148&amp;" "&amp;AF148&amp;IF(AC148="",""," Sz# "&amp;AC148)&amp;IF(AD148="Preloved"," [Preloved]","")))</f>
        <v/>
      </c>
      <c r="F148" s="8"/>
      <c r="G148" s="10"/>
      <c r="H148" s="10"/>
      <c r="I148" s="8" t="str">
        <f aca="false">IF(D148="","",1)</f>
        <v/>
      </c>
      <c r="J148" s="8"/>
      <c r="K148" s="8" t="str">
        <f aca="false">IF(AA148="","",AA148/1000)</f>
        <v/>
      </c>
      <c r="L148" s="9"/>
      <c r="M148" s="9"/>
      <c r="N148" s="8"/>
      <c r="O148" s="9"/>
      <c r="P148" s="9"/>
      <c r="Q148" s="9"/>
      <c r="R148" s="9"/>
      <c r="S148" s="9"/>
      <c r="T148" s="9"/>
      <c r="U148" s="9"/>
      <c r="V148" s="9"/>
      <c r="W148" s="9"/>
      <c r="X148" s="9"/>
      <c r="Y148" s="9"/>
      <c r="Z148" s="9"/>
      <c r="AA148" s="9"/>
      <c r="AB148" s="9"/>
      <c r="AC148" s="9"/>
      <c r="AD148" s="9"/>
      <c r="AE148" s="9"/>
      <c r="AF148" s="9"/>
    </row>
    <row r="149" customFormat="false" ht="15" hidden="false" customHeight="false" outlineLevel="0" collapsed="false">
      <c r="A149" s="8"/>
      <c r="B149" s="8" t="str">
        <f aca="false">IF(D149="","",Y149)</f>
        <v/>
      </c>
      <c r="C149" s="8" t="str">
        <f aca="false">IF(D149="","",Y149&amp;"_"&amp;D149)</f>
        <v/>
      </c>
      <c r="D149" s="9"/>
      <c r="E149" s="8" t="str">
        <f aca="false">IF(D149="","",TRIM(D149&amp;" "&amp;Y149&amp;" "&amp;Z149&amp;" "&amp;IF(AA149="","",TEXT(AA149,"0.00")&amp;"g")&amp;" "&amp;AB149&amp;" "&amp;AF149&amp;IF(AC149="",""," Sz# "&amp;AC149)&amp;IF(AD149="Preloved"," [Preloved]","")))</f>
        <v/>
      </c>
      <c r="F149" s="8"/>
      <c r="G149" s="10"/>
      <c r="H149" s="10"/>
      <c r="I149" s="8" t="str">
        <f aca="false">IF(D149="","",1)</f>
        <v/>
      </c>
      <c r="J149" s="8"/>
      <c r="K149" s="8" t="str">
        <f aca="false">IF(AA149="","",AA149/1000)</f>
        <v/>
      </c>
      <c r="L149" s="9"/>
      <c r="M149" s="9"/>
      <c r="N149" s="8"/>
      <c r="O149" s="9"/>
      <c r="P149" s="9"/>
      <c r="Q149" s="9"/>
      <c r="R149" s="9"/>
      <c r="S149" s="9"/>
      <c r="T149" s="9"/>
      <c r="U149" s="9"/>
      <c r="V149" s="9"/>
      <c r="W149" s="9"/>
      <c r="X149" s="9"/>
      <c r="Y149" s="9"/>
      <c r="Z149" s="9"/>
      <c r="AA149" s="9"/>
      <c r="AB149" s="9"/>
      <c r="AC149" s="9"/>
      <c r="AD149" s="9"/>
      <c r="AE149" s="9"/>
      <c r="AF149" s="9"/>
    </row>
    <row r="150" customFormat="false" ht="15" hidden="false" customHeight="false" outlineLevel="0" collapsed="false">
      <c r="A150" s="8"/>
      <c r="B150" s="8" t="str">
        <f aca="false">IF(D150="","",Y150)</f>
        <v/>
      </c>
      <c r="C150" s="8" t="str">
        <f aca="false">IF(D150="","",Y150&amp;"_"&amp;D150)</f>
        <v/>
      </c>
      <c r="D150" s="9"/>
      <c r="E150" s="8" t="str">
        <f aca="false">IF(D150="","",TRIM(D150&amp;" "&amp;Y150&amp;" "&amp;Z150&amp;" "&amp;IF(AA150="","",TEXT(AA150,"0.00")&amp;"g")&amp;" "&amp;AB150&amp;" "&amp;AF150&amp;IF(AC150="",""," Sz# "&amp;AC150)&amp;IF(AD150="Preloved"," [Preloved]","")))</f>
        <v/>
      </c>
      <c r="F150" s="8"/>
      <c r="G150" s="10"/>
      <c r="H150" s="10"/>
      <c r="I150" s="8" t="str">
        <f aca="false">IF(D150="","",1)</f>
        <v/>
      </c>
      <c r="J150" s="8"/>
      <c r="K150" s="8" t="str">
        <f aca="false">IF(AA150="","",AA150/1000)</f>
        <v/>
      </c>
      <c r="L150" s="9"/>
      <c r="M150" s="9"/>
      <c r="N150" s="8"/>
      <c r="O150" s="9"/>
      <c r="P150" s="9"/>
      <c r="Q150" s="9"/>
      <c r="R150" s="9"/>
      <c r="S150" s="9"/>
      <c r="T150" s="9"/>
      <c r="U150" s="9"/>
      <c r="V150" s="9"/>
      <c r="W150" s="9"/>
      <c r="X150" s="9"/>
      <c r="Y150" s="9"/>
      <c r="Z150" s="9"/>
      <c r="AA150" s="9"/>
      <c r="AB150" s="9"/>
      <c r="AC150" s="9"/>
      <c r="AD150" s="9"/>
      <c r="AE150" s="9"/>
      <c r="AF150" s="9"/>
    </row>
    <row r="151" customFormat="false" ht="15" hidden="false" customHeight="false" outlineLevel="0" collapsed="false">
      <c r="A151" s="8"/>
      <c r="B151" s="8" t="str">
        <f aca="false">IF(D151="","",Y151)</f>
        <v/>
      </c>
      <c r="C151" s="8" t="str">
        <f aca="false">IF(D151="","",Y151&amp;"_"&amp;D151)</f>
        <v/>
      </c>
      <c r="D151" s="9"/>
      <c r="E151" s="8" t="str">
        <f aca="false">IF(D151="","",TRIM(D151&amp;" "&amp;Y151&amp;" "&amp;Z151&amp;" "&amp;IF(AA151="","",TEXT(AA151,"0.00")&amp;"g")&amp;" "&amp;AB151&amp;" "&amp;AF151&amp;IF(AC151="",""," Sz# "&amp;AC151)&amp;IF(AD151="Preloved"," [Preloved]","")))</f>
        <v/>
      </c>
      <c r="F151" s="8"/>
      <c r="G151" s="10"/>
      <c r="H151" s="10"/>
      <c r="I151" s="8" t="str">
        <f aca="false">IF(D151="","",1)</f>
        <v/>
      </c>
      <c r="J151" s="8"/>
      <c r="K151" s="8" t="str">
        <f aca="false">IF(AA151="","",AA151/1000)</f>
        <v/>
      </c>
      <c r="L151" s="9"/>
      <c r="M151" s="9"/>
      <c r="N151" s="8"/>
      <c r="O151" s="9"/>
      <c r="P151" s="9"/>
      <c r="Q151" s="9"/>
      <c r="R151" s="9"/>
      <c r="S151" s="9"/>
      <c r="T151" s="9"/>
      <c r="U151" s="9"/>
      <c r="V151" s="9"/>
      <c r="W151" s="9"/>
      <c r="X151" s="9"/>
      <c r="Y151" s="9"/>
      <c r="Z151" s="9"/>
      <c r="AA151" s="9"/>
      <c r="AB151" s="9"/>
      <c r="AC151" s="9"/>
      <c r="AD151" s="9"/>
      <c r="AE151" s="9"/>
      <c r="AF151" s="9"/>
    </row>
    <row r="152" customFormat="false" ht="15" hidden="false" customHeight="false" outlineLevel="0" collapsed="false">
      <c r="A152" s="8"/>
      <c r="B152" s="8" t="str">
        <f aca="false">IF(D152="","",Y152)</f>
        <v/>
      </c>
      <c r="C152" s="8" t="str">
        <f aca="false">IF(D152="","",Y152&amp;"_"&amp;D152)</f>
        <v/>
      </c>
      <c r="D152" s="9"/>
      <c r="E152" s="8" t="str">
        <f aca="false">IF(D152="","",TRIM(D152&amp;" "&amp;Y152&amp;" "&amp;Z152&amp;" "&amp;IF(AA152="","",TEXT(AA152,"0.00")&amp;"g")&amp;" "&amp;AB152&amp;" "&amp;AF152&amp;IF(AC152="",""," Sz# "&amp;AC152)&amp;IF(AD152="Preloved"," [Preloved]","")))</f>
        <v/>
      </c>
      <c r="F152" s="8"/>
      <c r="G152" s="10"/>
      <c r="H152" s="10"/>
      <c r="I152" s="8" t="str">
        <f aca="false">IF(D152="","",1)</f>
        <v/>
      </c>
      <c r="J152" s="8"/>
      <c r="K152" s="8" t="str">
        <f aca="false">IF(AA152="","",AA152/1000)</f>
        <v/>
      </c>
      <c r="L152" s="9"/>
      <c r="M152" s="9"/>
      <c r="N152" s="8"/>
      <c r="O152" s="9"/>
      <c r="P152" s="9"/>
      <c r="Q152" s="9"/>
      <c r="R152" s="9"/>
      <c r="S152" s="9"/>
      <c r="T152" s="9"/>
      <c r="U152" s="9"/>
      <c r="V152" s="9"/>
      <c r="W152" s="9"/>
      <c r="X152" s="9"/>
      <c r="Y152" s="9"/>
      <c r="Z152" s="9"/>
      <c r="AA152" s="9"/>
      <c r="AB152" s="9"/>
      <c r="AC152" s="9"/>
      <c r="AD152" s="9"/>
      <c r="AE152" s="9"/>
      <c r="AF152" s="9"/>
    </row>
    <row r="153" customFormat="false" ht="15" hidden="false" customHeight="false" outlineLevel="0" collapsed="false">
      <c r="A153" s="8"/>
      <c r="B153" s="8" t="str">
        <f aca="false">IF(D153="","",Y153)</f>
        <v/>
      </c>
      <c r="C153" s="8" t="str">
        <f aca="false">IF(D153="","",Y153&amp;"_"&amp;D153)</f>
        <v/>
      </c>
      <c r="D153" s="9"/>
      <c r="E153" s="8" t="str">
        <f aca="false">IF(D153="","",TRIM(D153&amp;" "&amp;Y153&amp;" "&amp;Z153&amp;" "&amp;IF(AA153="","",TEXT(AA153,"0.00")&amp;"g")&amp;" "&amp;AB153&amp;" "&amp;AF153&amp;IF(AC153="",""," Sz# "&amp;AC153)&amp;IF(AD153="Preloved"," [Preloved]","")))</f>
        <v/>
      </c>
      <c r="F153" s="8"/>
      <c r="G153" s="10"/>
      <c r="H153" s="10"/>
      <c r="I153" s="8" t="str">
        <f aca="false">IF(D153="","",1)</f>
        <v/>
      </c>
      <c r="J153" s="8"/>
      <c r="K153" s="8" t="str">
        <f aca="false">IF(AA153="","",AA153/1000)</f>
        <v/>
      </c>
      <c r="L153" s="9"/>
      <c r="M153" s="9"/>
      <c r="N153" s="8"/>
      <c r="O153" s="9"/>
      <c r="P153" s="9"/>
      <c r="Q153" s="9"/>
      <c r="R153" s="9"/>
      <c r="S153" s="9"/>
      <c r="T153" s="9"/>
      <c r="U153" s="9"/>
      <c r="V153" s="9"/>
      <c r="W153" s="9"/>
      <c r="X153" s="9"/>
      <c r="Y153" s="9"/>
      <c r="Z153" s="9"/>
      <c r="AA153" s="9"/>
      <c r="AB153" s="9"/>
      <c r="AC153" s="9"/>
      <c r="AD153" s="9"/>
      <c r="AE153" s="9"/>
      <c r="AF153" s="9"/>
    </row>
    <row r="154" customFormat="false" ht="15" hidden="false" customHeight="false" outlineLevel="0" collapsed="false">
      <c r="A154" s="8"/>
      <c r="B154" s="8" t="str">
        <f aca="false">IF(D154="","",Y154)</f>
        <v/>
      </c>
      <c r="C154" s="8" t="str">
        <f aca="false">IF(D154="","",Y154&amp;"_"&amp;D154)</f>
        <v/>
      </c>
      <c r="D154" s="9"/>
      <c r="E154" s="8" t="str">
        <f aca="false">IF(D154="","",TRIM(D154&amp;" "&amp;Y154&amp;" "&amp;Z154&amp;" "&amp;IF(AA154="","",TEXT(AA154,"0.00")&amp;"g")&amp;" "&amp;AB154&amp;" "&amp;AF154&amp;IF(AC154="",""," Sz# "&amp;AC154)&amp;IF(AD154="Preloved"," [Preloved]","")))</f>
        <v/>
      </c>
      <c r="F154" s="8"/>
      <c r="G154" s="10"/>
      <c r="H154" s="10"/>
      <c r="I154" s="8" t="str">
        <f aca="false">IF(D154="","",1)</f>
        <v/>
      </c>
      <c r="J154" s="8"/>
      <c r="K154" s="8" t="str">
        <f aca="false">IF(AA154="","",AA154/1000)</f>
        <v/>
      </c>
      <c r="L154" s="9"/>
      <c r="M154" s="9"/>
      <c r="N154" s="8"/>
      <c r="O154" s="9"/>
      <c r="P154" s="9"/>
      <c r="Q154" s="9"/>
      <c r="R154" s="9"/>
      <c r="S154" s="9"/>
      <c r="T154" s="9"/>
      <c r="U154" s="9"/>
      <c r="V154" s="9"/>
      <c r="W154" s="9"/>
      <c r="X154" s="9"/>
      <c r="Y154" s="9"/>
      <c r="Z154" s="9"/>
      <c r="AA154" s="9"/>
      <c r="AB154" s="9"/>
      <c r="AC154" s="9"/>
      <c r="AD154" s="9"/>
      <c r="AE154" s="9"/>
      <c r="AF154" s="9"/>
    </row>
    <row r="155" customFormat="false" ht="15" hidden="false" customHeight="false" outlineLevel="0" collapsed="false">
      <c r="A155" s="8"/>
      <c r="B155" s="8" t="str">
        <f aca="false">IF(D155="","",Y155)</f>
        <v/>
      </c>
      <c r="C155" s="8" t="str">
        <f aca="false">IF(D155="","",Y155&amp;"_"&amp;D155)</f>
        <v/>
      </c>
      <c r="D155" s="9"/>
      <c r="E155" s="8" t="str">
        <f aca="false">IF(D155="","",TRIM(D155&amp;" "&amp;Y155&amp;" "&amp;Z155&amp;" "&amp;IF(AA155="","",TEXT(AA155,"0.00")&amp;"g")&amp;" "&amp;AB155&amp;" "&amp;AF155&amp;IF(AC155="",""," Sz# "&amp;AC155)&amp;IF(AD155="Preloved"," [Preloved]","")))</f>
        <v/>
      </c>
      <c r="F155" s="8"/>
      <c r="G155" s="10"/>
      <c r="H155" s="10"/>
      <c r="I155" s="8" t="str">
        <f aca="false">IF(D155="","",1)</f>
        <v/>
      </c>
      <c r="J155" s="8"/>
      <c r="K155" s="8" t="str">
        <f aca="false">IF(AA155="","",AA155/1000)</f>
        <v/>
      </c>
      <c r="L155" s="9"/>
      <c r="M155" s="9"/>
      <c r="N155" s="8"/>
      <c r="O155" s="9"/>
      <c r="P155" s="9"/>
      <c r="Q155" s="9"/>
      <c r="R155" s="9"/>
      <c r="S155" s="9"/>
      <c r="T155" s="9"/>
      <c r="U155" s="9"/>
      <c r="V155" s="9"/>
      <c r="W155" s="9"/>
      <c r="X155" s="9"/>
      <c r="Y155" s="9"/>
      <c r="Z155" s="9"/>
      <c r="AA155" s="9"/>
      <c r="AB155" s="9"/>
      <c r="AC155" s="9"/>
      <c r="AD155" s="9"/>
      <c r="AE155" s="9"/>
      <c r="AF155" s="9"/>
    </row>
    <row r="156" customFormat="false" ht="15" hidden="false" customHeight="false" outlineLevel="0" collapsed="false">
      <c r="A156" s="8"/>
      <c r="B156" s="8" t="str">
        <f aca="false">IF(D156="","",Y156)</f>
        <v/>
      </c>
      <c r="C156" s="8" t="str">
        <f aca="false">IF(D156="","",Y156&amp;"_"&amp;D156)</f>
        <v/>
      </c>
      <c r="D156" s="9"/>
      <c r="E156" s="8" t="str">
        <f aca="false">IF(D156="","",TRIM(D156&amp;" "&amp;Y156&amp;" "&amp;Z156&amp;" "&amp;IF(AA156="","",TEXT(AA156,"0.00")&amp;"g")&amp;" "&amp;AB156&amp;" "&amp;AF156&amp;IF(AC156="",""," Sz# "&amp;AC156)&amp;IF(AD156="Preloved"," [Preloved]","")))</f>
        <v/>
      </c>
      <c r="F156" s="8"/>
      <c r="G156" s="10"/>
      <c r="H156" s="10"/>
      <c r="I156" s="8" t="str">
        <f aca="false">IF(D156="","",1)</f>
        <v/>
      </c>
      <c r="J156" s="8"/>
      <c r="K156" s="8" t="str">
        <f aca="false">IF(AA156="","",AA156/1000)</f>
        <v/>
      </c>
      <c r="L156" s="9"/>
      <c r="M156" s="9"/>
      <c r="N156" s="8"/>
      <c r="O156" s="9"/>
      <c r="P156" s="9"/>
      <c r="Q156" s="9"/>
      <c r="R156" s="9"/>
      <c r="S156" s="9"/>
      <c r="T156" s="9"/>
      <c r="U156" s="9"/>
      <c r="V156" s="9"/>
      <c r="W156" s="9"/>
      <c r="X156" s="9"/>
      <c r="Y156" s="9"/>
      <c r="Z156" s="9"/>
      <c r="AA156" s="9"/>
      <c r="AB156" s="9"/>
      <c r="AC156" s="9"/>
      <c r="AD156" s="9"/>
      <c r="AE156" s="9"/>
      <c r="AF156" s="9"/>
    </row>
    <row r="157" customFormat="false" ht="15" hidden="false" customHeight="false" outlineLevel="0" collapsed="false">
      <c r="A157" s="8"/>
      <c r="B157" s="8" t="str">
        <f aca="false">IF(D157="","",Y157)</f>
        <v/>
      </c>
      <c r="C157" s="8" t="str">
        <f aca="false">IF(D157="","",Y157&amp;"_"&amp;D157)</f>
        <v/>
      </c>
      <c r="D157" s="9"/>
      <c r="E157" s="8" t="str">
        <f aca="false">IF(D157="","",TRIM(D157&amp;" "&amp;Y157&amp;" "&amp;Z157&amp;" "&amp;IF(AA157="","",TEXT(AA157,"0.00")&amp;"g")&amp;" "&amp;AB157&amp;" "&amp;AF157&amp;IF(AC157="",""," Sz# "&amp;AC157)&amp;IF(AD157="Preloved"," [Preloved]","")))</f>
        <v/>
      </c>
      <c r="F157" s="8"/>
      <c r="G157" s="10"/>
      <c r="H157" s="10"/>
      <c r="I157" s="8" t="str">
        <f aca="false">IF(D157="","",1)</f>
        <v/>
      </c>
      <c r="J157" s="8"/>
      <c r="K157" s="8" t="str">
        <f aca="false">IF(AA157="","",AA157/1000)</f>
        <v/>
      </c>
      <c r="L157" s="9"/>
      <c r="M157" s="9"/>
      <c r="N157" s="8"/>
      <c r="O157" s="9"/>
      <c r="P157" s="9"/>
      <c r="Q157" s="9"/>
      <c r="R157" s="9"/>
      <c r="S157" s="9"/>
      <c r="T157" s="9"/>
      <c r="U157" s="9"/>
      <c r="V157" s="9"/>
      <c r="W157" s="9"/>
      <c r="X157" s="9"/>
      <c r="Y157" s="9"/>
      <c r="Z157" s="9"/>
      <c r="AA157" s="9"/>
      <c r="AB157" s="9"/>
      <c r="AC157" s="9"/>
      <c r="AD157" s="9"/>
      <c r="AE157" s="9"/>
      <c r="AF157" s="9"/>
    </row>
    <row r="158" customFormat="false" ht="15" hidden="false" customHeight="false" outlineLevel="0" collapsed="false">
      <c r="A158" s="8"/>
      <c r="B158" s="8" t="str">
        <f aca="false">IF(D158="","",Y158)</f>
        <v/>
      </c>
      <c r="C158" s="8" t="str">
        <f aca="false">IF(D158="","",Y158&amp;"_"&amp;D158)</f>
        <v/>
      </c>
      <c r="D158" s="9"/>
      <c r="E158" s="8" t="str">
        <f aca="false">IF(D158="","",TRIM(D158&amp;" "&amp;Y158&amp;" "&amp;Z158&amp;" "&amp;IF(AA158="","",TEXT(AA158,"0.00")&amp;"g")&amp;" "&amp;AB158&amp;" "&amp;AF158&amp;IF(AC158="",""," Sz# "&amp;AC158)&amp;IF(AD158="Preloved"," [Preloved]","")))</f>
        <v/>
      </c>
      <c r="F158" s="8"/>
      <c r="G158" s="10"/>
      <c r="H158" s="10"/>
      <c r="I158" s="8" t="str">
        <f aca="false">IF(D158="","",1)</f>
        <v/>
      </c>
      <c r="J158" s="8"/>
      <c r="K158" s="8" t="str">
        <f aca="false">IF(AA158="","",AA158/1000)</f>
        <v/>
      </c>
      <c r="L158" s="9"/>
      <c r="M158" s="9"/>
      <c r="N158" s="8"/>
      <c r="O158" s="9"/>
      <c r="P158" s="9"/>
      <c r="Q158" s="9"/>
      <c r="R158" s="9"/>
      <c r="S158" s="9"/>
      <c r="T158" s="9"/>
      <c r="U158" s="9"/>
      <c r="V158" s="9"/>
      <c r="W158" s="9"/>
      <c r="X158" s="9"/>
      <c r="Y158" s="9"/>
      <c r="Z158" s="9"/>
      <c r="AA158" s="9"/>
      <c r="AB158" s="9"/>
      <c r="AC158" s="9"/>
      <c r="AD158" s="9"/>
      <c r="AE158" s="9"/>
      <c r="AF158" s="9"/>
    </row>
    <row r="159" customFormat="false" ht="15" hidden="false" customHeight="false" outlineLevel="0" collapsed="false">
      <c r="A159" s="8"/>
      <c r="B159" s="8" t="str">
        <f aca="false">IF(D159="","",Y159)</f>
        <v/>
      </c>
      <c r="C159" s="8" t="str">
        <f aca="false">IF(D159="","",Y159&amp;"_"&amp;D159)</f>
        <v/>
      </c>
      <c r="D159" s="9"/>
      <c r="E159" s="8" t="str">
        <f aca="false">IF(D159="","",TRIM(D159&amp;" "&amp;Y159&amp;" "&amp;Z159&amp;" "&amp;IF(AA159="","",TEXT(AA159,"0.00")&amp;"g")&amp;" "&amp;AB159&amp;" "&amp;AF159&amp;IF(AC159="",""," Sz# "&amp;AC159)&amp;IF(AD159="Preloved"," [Preloved]","")))</f>
        <v/>
      </c>
      <c r="F159" s="8"/>
      <c r="G159" s="10"/>
      <c r="H159" s="10"/>
      <c r="I159" s="8" t="str">
        <f aca="false">IF(D159="","",1)</f>
        <v/>
      </c>
      <c r="J159" s="8"/>
      <c r="K159" s="8" t="str">
        <f aca="false">IF(AA159="","",AA159/1000)</f>
        <v/>
      </c>
      <c r="L159" s="9"/>
      <c r="M159" s="9"/>
      <c r="N159" s="8"/>
      <c r="O159" s="9"/>
      <c r="P159" s="9"/>
      <c r="Q159" s="9"/>
      <c r="R159" s="9"/>
      <c r="S159" s="9"/>
      <c r="T159" s="9"/>
      <c r="U159" s="9"/>
      <c r="V159" s="9"/>
      <c r="W159" s="9"/>
      <c r="X159" s="9"/>
      <c r="Y159" s="9"/>
      <c r="Z159" s="9"/>
      <c r="AA159" s="9"/>
      <c r="AB159" s="9"/>
      <c r="AC159" s="9"/>
      <c r="AD159" s="9"/>
      <c r="AE159" s="9"/>
      <c r="AF159" s="9"/>
    </row>
    <row r="160" customFormat="false" ht="15" hidden="false" customHeight="false" outlineLevel="0" collapsed="false">
      <c r="A160" s="8"/>
      <c r="B160" s="8" t="str">
        <f aca="false">IF(D160="","",Y160)</f>
        <v/>
      </c>
      <c r="C160" s="8" t="str">
        <f aca="false">IF(D160="","",Y160&amp;"_"&amp;D160)</f>
        <v/>
      </c>
      <c r="D160" s="9"/>
      <c r="E160" s="8" t="str">
        <f aca="false">IF(D160="","",TRIM(D160&amp;" "&amp;Y160&amp;" "&amp;Z160&amp;" "&amp;IF(AA160="","",TEXT(AA160,"0.00")&amp;"g")&amp;" "&amp;AB160&amp;" "&amp;AF160&amp;IF(AC160="",""," Sz# "&amp;AC160)&amp;IF(AD160="Preloved"," [Preloved]","")))</f>
        <v/>
      </c>
      <c r="F160" s="8"/>
      <c r="G160" s="10"/>
      <c r="H160" s="10"/>
      <c r="I160" s="8" t="str">
        <f aca="false">IF(D160="","",1)</f>
        <v/>
      </c>
      <c r="J160" s="8"/>
      <c r="K160" s="8" t="str">
        <f aca="false">IF(AA160="","",AA160/1000)</f>
        <v/>
      </c>
      <c r="L160" s="9"/>
      <c r="M160" s="9"/>
      <c r="N160" s="8"/>
      <c r="O160" s="9"/>
      <c r="P160" s="9"/>
      <c r="Q160" s="9"/>
      <c r="R160" s="9"/>
      <c r="S160" s="9"/>
      <c r="T160" s="9"/>
      <c r="U160" s="9"/>
      <c r="V160" s="9"/>
      <c r="W160" s="9"/>
      <c r="X160" s="9"/>
      <c r="Y160" s="9"/>
      <c r="Z160" s="9"/>
      <c r="AA160" s="9"/>
      <c r="AB160" s="9"/>
      <c r="AC160" s="9"/>
      <c r="AD160" s="9"/>
      <c r="AE160" s="9"/>
      <c r="AF160" s="9"/>
    </row>
    <row r="161" customFormat="false" ht="15" hidden="false" customHeight="false" outlineLevel="0" collapsed="false">
      <c r="A161" s="8"/>
      <c r="B161" s="8" t="str">
        <f aca="false">IF(D161="","",Y161)</f>
        <v/>
      </c>
      <c r="C161" s="8" t="str">
        <f aca="false">IF(D161="","",Y161&amp;"_"&amp;D161)</f>
        <v/>
      </c>
      <c r="D161" s="9"/>
      <c r="E161" s="8" t="str">
        <f aca="false">IF(D161="","",TRIM(D161&amp;" "&amp;Y161&amp;" "&amp;Z161&amp;" "&amp;IF(AA161="","",TEXT(AA161,"0.00")&amp;"g")&amp;" "&amp;AB161&amp;" "&amp;AF161&amp;IF(AC161="",""," Sz# "&amp;AC161)&amp;IF(AD161="Preloved"," [Preloved]","")))</f>
        <v/>
      </c>
      <c r="F161" s="8"/>
      <c r="G161" s="10"/>
      <c r="H161" s="10"/>
      <c r="I161" s="8" t="str">
        <f aca="false">IF(D161="","",1)</f>
        <v/>
      </c>
      <c r="J161" s="8"/>
      <c r="K161" s="8" t="str">
        <f aca="false">IF(AA161="","",AA161/1000)</f>
        <v/>
      </c>
      <c r="L161" s="9"/>
      <c r="M161" s="9"/>
      <c r="N161" s="8"/>
      <c r="O161" s="9"/>
      <c r="P161" s="9"/>
      <c r="Q161" s="9"/>
      <c r="R161" s="9"/>
      <c r="S161" s="9"/>
      <c r="T161" s="9"/>
      <c r="U161" s="9"/>
      <c r="V161" s="9"/>
      <c r="W161" s="9"/>
      <c r="X161" s="9"/>
      <c r="Y161" s="9"/>
      <c r="Z161" s="9"/>
      <c r="AA161" s="9"/>
      <c r="AB161" s="9"/>
      <c r="AC161" s="9"/>
      <c r="AD161" s="9"/>
      <c r="AE161" s="9"/>
      <c r="AF161" s="9"/>
    </row>
    <row r="162" customFormat="false" ht="15" hidden="false" customHeight="false" outlineLevel="0" collapsed="false">
      <c r="A162" s="8"/>
      <c r="B162" s="8" t="str">
        <f aca="false">IF(D162="","",Y162)</f>
        <v/>
      </c>
      <c r="C162" s="8" t="str">
        <f aca="false">IF(D162="","",Y162&amp;"_"&amp;D162)</f>
        <v/>
      </c>
      <c r="D162" s="9"/>
      <c r="E162" s="8" t="str">
        <f aca="false">IF(D162="","",TRIM(D162&amp;" "&amp;Y162&amp;" "&amp;Z162&amp;" "&amp;IF(AA162="","",TEXT(AA162,"0.00")&amp;"g")&amp;" "&amp;AB162&amp;" "&amp;AF162&amp;IF(AC162="",""," Sz# "&amp;AC162)&amp;IF(AD162="Preloved"," [Preloved]","")))</f>
        <v/>
      </c>
      <c r="F162" s="8"/>
      <c r="G162" s="10"/>
      <c r="H162" s="10"/>
      <c r="I162" s="8" t="str">
        <f aca="false">IF(D162="","",1)</f>
        <v/>
      </c>
      <c r="J162" s="8"/>
      <c r="K162" s="8" t="str">
        <f aca="false">IF(AA162="","",AA162/1000)</f>
        <v/>
      </c>
      <c r="L162" s="9"/>
      <c r="M162" s="9"/>
      <c r="N162" s="8"/>
      <c r="O162" s="9"/>
      <c r="P162" s="9"/>
      <c r="Q162" s="9"/>
      <c r="R162" s="9"/>
      <c r="S162" s="9"/>
      <c r="T162" s="9"/>
      <c r="U162" s="9"/>
      <c r="V162" s="9"/>
      <c r="W162" s="9"/>
      <c r="X162" s="9"/>
      <c r="Y162" s="9"/>
      <c r="Z162" s="9"/>
      <c r="AA162" s="9"/>
      <c r="AB162" s="9"/>
      <c r="AC162" s="9"/>
      <c r="AD162" s="9"/>
      <c r="AE162" s="9"/>
      <c r="AF162" s="9"/>
    </row>
    <row r="163" customFormat="false" ht="15" hidden="false" customHeight="false" outlineLevel="0" collapsed="false">
      <c r="A163" s="8"/>
      <c r="B163" s="8" t="str">
        <f aca="false">IF(D163="","",Y163)</f>
        <v/>
      </c>
      <c r="C163" s="8" t="str">
        <f aca="false">IF(D163="","",Y163&amp;"_"&amp;D163)</f>
        <v/>
      </c>
      <c r="D163" s="9"/>
      <c r="E163" s="8" t="str">
        <f aca="false">IF(D163="","",TRIM(D163&amp;" "&amp;Y163&amp;" "&amp;Z163&amp;" "&amp;IF(AA163="","",TEXT(AA163,"0.00")&amp;"g")&amp;" "&amp;AB163&amp;" "&amp;AF163&amp;IF(AC163="",""," Sz# "&amp;AC163)&amp;IF(AD163="Preloved"," [Preloved]","")))</f>
        <v/>
      </c>
      <c r="F163" s="8"/>
      <c r="G163" s="10"/>
      <c r="H163" s="10"/>
      <c r="I163" s="8" t="str">
        <f aca="false">IF(D163="","",1)</f>
        <v/>
      </c>
      <c r="J163" s="8"/>
      <c r="K163" s="8" t="str">
        <f aca="false">IF(AA163="","",AA163/1000)</f>
        <v/>
      </c>
      <c r="L163" s="9"/>
      <c r="M163" s="9"/>
      <c r="N163" s="8"/>
      <c r="O163" s="9"/>
      <c r="P163" s="9"/>
      <c r="Q163" s="9"/>
      <c r="R163" s="9"/>
      <c r="S163" s="9"/>
      <c r="T163" s="9"/>
      <c r="U163" s="9"/>
      <c r="V163" s="9"/>
      <c r="W163" s="9"/>
      <c r="X163" s="9"/>
      <c r="Y163" s="9"/>
      <c r="Z163" s="9"/>
      <c r="AA163" s="9"/>
      <c r="AB163" s="9"/>
      <c r="AC163" s="9"/>
      <c r="AD163" s="9"/>
      <c r="AE163" s="9"/>
      <c r="AF163" s="9"/>
    </row>
    <row r="164" customFormat="false" ht="15" hidden="false" customHeight="false" outlineLevel="0" collapsed="false">
      <c r="A164" s="8"/>
      <c r="B164" s="8" t="str">
        <f aca="false">IF(D164="","",Y164)</f>
        <v/>
      </c>
      <c r="C164" s="8" t="str">
        <f aca="false">IF(D164="","",Y164&amp;"_"&amp;D164)</f>
        <v/>
      </c>
      <c r="D164" s="9"/>
      <c r="E164" s="8" t="str">
        <f aca="false">IF(D164="","",TRIM(D164&amp;" "&amp;Y164&amp;" "&amp;Z164&amp;" "&amp;IF(AA164="","",TEXT(AA164,"0.00")&amp;"g")&amp;" "&amp;AB164&amp;" "&amp;AF164&amp;IF(AC164="",""," Sz# "&amp;AC164)&amp;IF(AD164="Preloved"," [Preloved]","")))</f>
        <v/>
      </c>
      <c r="F164" s="8"/>
      <c r="G164" s="10"/>
      <c r="H164" s="10"/>
      <c r="I164" s="8" t="str">
        <f aca="false">IF(D164="","",1)</f>
        <v/>
      </c>
      <c r="J164" s="8"/>
      <c r="K164" s="8" t="str">
        <f aca="false">IF(AA164="","",AA164/1000)</f>
        <v/>
      </c>
      <c r="L164" s="9"/>
      <c r="M164" s="9"/>
      <c r="N164" s="8"/>
      <c r="O164" s="9"/>
      <c r="P164" s="9"/>
      <c r="Q164" s="9"/>
      <c r="R164" s="9"/>
      <c r="S164" s="9"/>
      <c r="T164" s="9"/>
      <c r="U164" s="9"/>
      <c r="V164" s="9"/>
      <c r="W164" s="9"/>
      <c r="X164" s="9"/>
      <c r="Y164" s="9"/>
      <c r="Z164" s="9"/>
      <c r="AA164" s="9"/>
      <c r="AB164" s="9"/>
      <c r="AC164" s="9"/>
      <c r="AD164" s="9"/>
      <c r="AE164" s="9"/>
      <c r="AF164" s="9"/>
    </row>
    <row r="165" customFormat="false" ht="15" hidden="false" customHeight="false" outlineLevel="0" collapsed="false">
      <c r="A165" s="8"/>
      <c r="B165" s="8" t="str">
        <f aca="false">IF(D165="","",Y165)</f>
        <v/>
      </c>
      <c r="C165" s="8" t="str">
        <f aca="false">IF(D165="","",Y165&amp;"_"&amp;D165)</f>
        <v/>
      </c>
      <c r="D165" s="9"/>
      <c r="E165" s="8" t="str">
        <f aca="false">IF(D165="","",TRIM(D165&amp;" "&amp;Y165&amp;" "&amp;Z165&amp;" "&amp;IF(AA165="","",TEXT(AA165,"0.00")&amp;"g")&amp;" "&amp;AB165&amp;" "&amp;AF165&amp;IF(AC165="",""," Sz# "&amp;AC165)&amp;IF(AD165="Preloved"," [Preloved]","")))</f>
        <v/>
      </c>
      <c r="F165" s="8"/>
      <c r="G165" s="10"/>
      <c r="H165" s="10"/>
      <c r="I165" s="8" t="str">
        <f aca="false">IF(D165="","",1)</f>
        <v/>
      </c>
      <c r="J165" s="8"/>
      <c r="K165" s="8" t="str">
        <f aca="false">IF(AA165="","",AA165/1000)</f>
        <v/>
      </c>
      <c r="L165" s="9"/>
      <c r="M165" s="9"/>
      <c r="N165" s="8"/>
      <c r="O165" s="9"/>
      <c r="P165" s="9"/>
      <c r="Q165" s="9"/>
      <c r="R165" s="9"/>
      <c r="S165" s="9"/>
      <c r="T165" s="9"/>
      <c r="U165" s="9"/>
      <c r="V165" s="9"/>
      <c r="W165" s="9"/>
      <c r="X165" s="9"/>
      <c r="Y165" s="9"/>
      <c r="Z165" s="9"/>
      <c r="AA165" s="9"/>
      <c r="AB165" s="9"/>
      <c r="AC165" s="9"/>
      <c r="AD165" s="9"/>
      <c r="AE165" s="9"/>
      <c r="AF165" s="9"/>
    </row>
    <row r="166" customFormat="false" ht="15" hidden="false" customHeight="false" outlineLevel="0" collapsed="false">
      <c r="A166" s="8"/>
      <c r="B166" s="8" t="str">
        <f aca="false">IF(D166="","",Y166)</f>
        <v/>
      </c>
      <c r="C166" s="8" t="str">
        <f aca="false">IF(D166="","",Y166&amp;"_"&amp;D166)</f>
        <v/>
      </c>
      <c r="D166" s="9"/>
      <c r="E166" s="8" t="str">
        <f aca="false">IF(D166="","",TRIM(D166&amp;" "&amp;Y166&amp;" "&amp;Z166&amp;" "&amp;IF(AA166="","",TEXT(AA166,"0.00")&amp;"g")&amp;" "&amp;AB166&amp;" "&amp;AF166&amp;IF(AC166="",""," Sz# "&amp;AC166)&amp;IF(AD166="Preloved"," [Preloved]","")))</f>
        <v/>
      </c>
      <c r="F166" s="8"/>
      <c r="G166" s="10"/>
      <c r="H166" s="10"/>
      <c r="I166" s="8" t="str">
        <f aca="false">IF(D166="","",1)</f>
        <v/>
      </c>
      <c r="J166" s="8"/>
      <c r="K166" s="8" t="str">
        <f aca="false">IF(AA166="","",AA166/1000)</f>
        <v/>
      </c>
      <c r="L166" s="9"/>
      <c r="M166" s="9"/>
      <c r="N166" s="8"/>
      <c r="O166" s="9"/>
      <c r="P166" s="9"/>
      <c r="Q166" s="9"/>
      <c r="R166" s="9"/>
      <c r="S166" s="9"/>
      <c r="T166" s="9"/>
      <c r="U166" s="9"/>
      <c r="V166" s="9"/>
      <c r="W166" s="9"/>
      <c r="X166" s="9"/>
      <c r="Y166" s="9"/>
      <c r="Z166" s="9"/>
      <c r="AA166" s="9"/>
      <c r="AB166" s="9"/>
      <c r="AC166" s="9"/>
      <c r="AD166" s="9"/>
      <c r="AE166" s="9"/>
      <c r="AF166" s="9"/>
    </row>
    <row r="167" customFormat="false" ht="15" hidden="false" customHeight="false" outlineLevel="0" collapsed="false">
      <c r="A167" s="8"/>
      <c r="B167" s="8" t="str">
        <f aca="false">IF(D167="","",Y167)</f>
        <v/>
      </c>
      <c r="C167" s="8" t="str">
        <f aca="false">IF(D167="","",Y167&amp;"_"&amp;D167)</f>
        <v/>
      </c>
      <c r="D167" s="9"/>
      <c r="E167" s="8" t="str">
        <f aca="false">IF(D167="","",TRIM(D167&amp;" "&amp;Y167&amp;" "&amp;Z167&amp;" "&amp;IF(AA167="","",TEXT(AA167,"0.00")&amp;"g")&amp;" "&amp;AB167&amp;" "&amp;AF167&amp;IF(AC167="",""," Sz# "&amp;AC167)&amp;IF(AD167="Preloved"," [Preloved]","")))</f>
        <v/>
      </c>
      <c r="F167" s="8"/>
      <c r="G167" s="10"/>
      <c r="H167" s="10"/>
      <c r="I167" s="8" t="str">
        <f aca="false">IF(D167="","",1)</f>
        <v/>
      </c>
      <c r="J167" s="8"/>
      <c r="K167" s="8" t="str">
        <f aca="false">IF(AA167="","",AA167/1000)</f>
        <v/>
      </c>
      <c r="L167" s="9"/>
      <c r="M167" s="9"/>
      <c r="N167" s="8"/>
      <c r="O167" s="9"/>
      <c r="P167" s="9"/>
      <c r="Q167" s="9"/>
      <c r="R167" s="9"/>
      <c r="S167" s="9"/>
      <c r="T167" s="9"/>
      <c r="U167" s="9"/>
      <c r="V167" s="9"/>
      <c r="W167" s="9"/>
      <c r="X167" s="9"/>
      <c r="Y167" s="9"/>
      <c r="Z167" s="9"/>
      <c r="AA167" s="9"/>
      <c r="AB167" s="9"/>
      <c r="AC167" s="9"/>
      <c r="AD167" s="9"/>
      <c r="AE167" s="9"/>
      <c r="AF167" s="9"/>
    </row>
    <row r="168" customFormat="false" ht="15" hidden="false" customHeight="false" outlineLevel="0" collapsed="false">
      <c r="A168" s="8"/>
      <c r="B168" s="8" t="str">
        <f aca="false">IF(D168="","",Y168)</f>
        <v/>
      </c>
      <c r="C168" s="8" t="str">
        <f aca="false">IF(D168="","",Y168&amp;"_"&amp;D168)</f>
        <v/>
      </c>
      <c r="D168" s="9"/>
      <c r="E168" s="8" t="str">
        <f aca="false">IF(D168="","",TRIM(D168&amp;" "&amp;Y168&amp;" "&amp;Z168&amp;" "&amp;IF(AA168="","",TEXT(AA168,"0.00")&amp;"g")&amp;" "&amp;AB168&amp;" "&amp;AF168&amp;IF(AC168="",""," Sz# "&amp;AC168)&amp;IF(AD168="Preloved"," [Preloved]","")))</f>
        <v/>
      </c>
      <c r="F168" s="8"/>
      <c r="G168" s="10"/>
      <c r="H168" s="10"/>
      <c r="I168" s="8" t="str">
        <f aca="false">IF(D168="","",1)</f>
        <v/>
      </c>
      <c r="J168" s="8"/>
      <c r="K168" s="8" t="str">
        <f aca="false">IF(AA168="","",AA168/1000)</f>
        <v/>
      </c>
      <c r="L168" s="9"/>
      <c r="M168" s="9"/>
      <c r="N168" s="8"/>
      <c r="O168" s="9"/>
      <c r="P168" s="9"/>
      <c r="Q168" s="9"/>
      <c r="R168" s="9"/>
      <c r="S168" s="9"/>
      <c r="T168" s="9"/>
      <c r="U168" s="9"/>
      <c r="V168" s="9"/>
      <c r="W168" s="9"/>
      <c r="X168" s="9"/>
      <c r="Y168" s="9"/>
      <c r="Z168" s="9"/>
      <c r="AA168" s="9"/>
      <c r="AB168" s="9"/>
      <c r="AC168" s="9"/>
      <c r="AD168" s="9"/>
      <c r="AE168" s="9"/>
      <c r="AF168" s="9"/>
    </row>
    <row r="169" customFormat="false" ht="15" hidden="false" customHeight="false" outlineLevel="0" collapsed="false">
      <c r="A169" s="8"/>
      <c r="B169" s="8" t="str">
        <f aca="false">IF(D169="","",Y169)</f>
        <v/>
      </c>
      <c r="C169" s="8" t="str">
        <f aca="false">IF(D169="","",Y169&amp;"_"&amp;D169)</f>
        <v/>
      </c>
      <c r="D169" s="9"/>
      <c r="E169" s="8" t="str">
        <f aca="false">IF(D169="","",TRIM(D169&amp;" "&amp;Y169&amp;" "&amp;Z169&amp;" "&amp;IF(AA169="","",TEXT(AA169,"0.00")&amp;"g")&amp;" "&amp;AB169&amp;" "&amp;AF169&amp;IF(AC169="",""," Sz# "&amp;AC169)&amp;IF(AD169="Preloved"," [Preloved]","")))</f>
        <v/>
      </c>
      <c r="F169" s="8"/>
      <c r="G169" s="10"/>
      <c r="H169" s="10"/>
      <c r="I169" s="8" t="str">
        <f aca="false">IF(D169="","",1)</f>
        <v/>
      </c>
      <c r="J169" s="8"/>
      <c r="K169" s="8" t="str">
        <f aca="false">IF(AA169="","",AA169/1000)</f>
        <v/>
      </c>
      <c r="L169" s="9"/>
      <c r="M169" s="9"/>
      <c r="N169" s="8"/>
      <c r="O169" s="9"/>
      <c r="P169" s="9"/>
      <c r="Q169" s="9"/>
      <c r="R169" s="9"/>
      <c r="S169" s="9"/>
      <c r="T169" s="9"/>
      <c r="U169" s="9"/>
      <c r="V169" s="9"/>
      <c r="W169" s="9"/>
      <c r="X169" s="9"/>
      <c r="Y169" s="9"/>
      <c r="Z169" s="9"/>
      <c r="AA169" s="9"/>
      <c r="AB169" s="9"/>
      <c r="AC169" s="9"/>
      <c r="AD169" s="9"/>
      <c r="AE169" s="9"/>
      <c r="AF169" s="9"/>
    </row>
    <row r="170" customFormat="false" ht="15" hidden="false" customHeight="false" outlineLevel="0" collapsed="false">
      <c r="A170" s="8"/>
      <c r="B170" s="8" t="str">
        <f aca="false">IF(D170="","",Y170)</f>
        <v/>
      </c>
      <c r="C170" s="8" t="str">
        <f aca="false">IF(D170="","",Y170&amp;"_"&amp;D170)</f>
        <v/>
      </c>
      <c r="D170" s="9"/>
      <c r="E170" s="8" t="str">
        <f aca="false">IF(D170="","",TRIM(D170&amp;" "&amp;Y170&amp;" "&amp;Z170&amp;" "&amp;IF(AA170="","",TEXT(AA170,"0.00")&amp;"g")&amp;" "&amp;AB170&amp;" "&amp;AF170&amp;IF(AC170="",""," Sz# "&amp;AC170)&amp;IF(AD170="Preloved"," [Preloved]","")))</f>
        <v/>
      </c>
      <c r="F170" s="8"/>
      <c r="G170" s="10"/>
      <c r="H170" s="10"/>
      <c r="I170" s="8" t="str">
        <f aca="false">IF(D170="","",1)</f>
        <v/>
      </c>
      <c r="J170" s="8"/>
      <c r="K170" s="8" t="str">
        <f aca="false">IF(AA170="","",AA170/1000)</f>
        <v/>
      </c>
      <c r="L170" s="9"/>
      <c r="M170" s="9"/>
      <c r="N170" s="8"/>
      <c r="O170" s="9"/>
      <c r="P170" s="9"/>
      <c r="Q170" s="9"/>
      <c r="R170" s="9"/>
      <c r="S170" s="9"/>
      <c r="T170" s="9"/>
      <c r="U170" s="9"/>
      <c r="V170" s="9"/>
      <c r="W170" s="9"/>
      <c r="X170" s="9"/>
      <c r="Y170" s="9"/>
      <c r="Z170" s="9"/>
      <c r="AA170" s="9"/>
      <c r="AB170" s="9"/>
      <c r="AC170" s="9"/>
      <c r="AD170" s="9"/>
      <c r="AE170" s="9"/>
      <c r="AF170" s="9"/>
    </row>
    <row r="171" customFormat="false" ht="15" hidden="false" customHeight="false" outlineLevel="0" collapsed="false">
      <c r="A171" s="8"/>
      <c r="B171" s="8" t="str">
        <f aca="false">IF(D171="","",Y171)</f>
        <v/>
      </c>
      <c r="C171" s="8" t="str">
        <f aca="false">IF(D171="","",Y171&amp;"_"&amp;D171)</f>
        <v/>
      </c>
      <c r="D171" s="9"/>
      <c r="E171" s="8" t="str">
        <f aca="false">IF(D171="","",TRIM(D171&amp;" "&amp;Y171&amp;" "&amp;Z171&amp;" "&amp;IF(AA171="","",TEXT(AA171,"0.00")&amp;"g")&amp;" "&amp;AB171&amp;" "&amp;AF171&amp;IF(AC171="",""," Sz# "&amp;AC171)&amp;IF(AD171="Preloved"," [Preloved]","")))</f>
        <v/>
      </c>
      <c r="F171" s="8"/>
      <c r="G171" s="10"/>
      <c r="H171" s="10"/>
      <c r="I171" s="8" t="str">
        <f aca="false">IF(D171="","",1)</f>
        <v/>
      </c>
      <c r="J171" s="8"/>
      <c r="K171" s="8" t="str">
        <f aca="false">IF(AA171="","",AA171/1000)</f>
        <v/>
      </c>
      <c r="L171" s="9"/>
      <c r="M171" s="9"/>
      <c r="N171" s="8"/>
      <c r="O171" s="9"/>
      <c r="P171" s="9"/>
      <c r="Q171" s="9"/>
      <c r="R171" s="9"/>
      <c r="S171" s="9"/>
      <c r="T171" s="9"/>
      <c r="U171" s="9"/>
      <c r="V171" s="9"/>
      <c r="W171" s="9"/>
      <c r="X171" s="9"/>
      <c r="Y171" s="9"/>
      <c r="Z171" s="9"/>
      <c r="AA171" s="9"/>
      <c r="AB171" s="9"/>
      <c r="AC171" s="9"/>
      <c r="AD171" s="9"/>
      <c r="AE171" s="9"/>
      <c r="AF171" s="9"/>
    </row>
    <row r="172" customFormat="false" ht="15" hidden="false" customHeight="false" outlineLevel="0" collapsed="false">
      <c r="A172" s="8"/>
      <c r="B172" s="8" t="str">
        <f aca="false">IF(D172="","",Y172)</f>
        <v/>
      </c>
      <c r="C172" s="8" t="str">
        <f aca="false">IF(D172="","",Y172&amp;"_"&amp;D172)</f>
        <v/>
      </c>
      <c r="D172" s="9"/>
      <c r="E172" s="8" t="str">
        <f aca="false">IF(D172="","",TRIM(D172&amp;" "&amp;Y172&amp;" "&amp;Z172&amp;" "&amp;IF(AA172="","",TEXT(AA172,"0.00")&amp;"g")&amp;" "&amp;AB172&amp;" "&amp;AF172&amp;IF(AC172="",""," Sz# "&amp;AC172)&amp;IF(AD172="Preloved"," [Preloved]","")))</f>
        <v/>
      </c>
      <c r="F172" s="8"/>
      <c r="G172" s="10"/>
      <c r="H172" s="10"/>
      <c r="I172" s="8" t="str">
        <f aca="false">IF(D172="","",1)</f>
        <v/>
      </c>
      <c r="J172" s="8"/>
      <c r="K172" s="8" t="str">
        <f aca="false">IF(AA172="","",AA172/1000)</f>
        <v/>
      </c>
      <c r="L172" s="9"/>
      <c r="M172" s="9"/>
      <c r="N172" s="8"/>
      <c r="O172" s="9"/>
      <c r="P172" s="9"/>
      <c r="Q172" s="9"/>
      <c r="R172" s="9"/>
      <c r="S172" s="9"/>
      <c r="T172" s="9"/>
      <c r="U172" s="9"/>
      <c r="V172" s="9"/>
      <c r="W172" s="9"/>
      <c r="X172" s="9"/>
      <c r="Y172" s="9"/>
      <c r="Z172" s="9"/>
      <c r="AA172" s="9"/>
      <c r="AB172" s="9"/>
      <c r="AC172" s="9"/>
      <c r="AD172" s="9"/>
      <c r="AE172" s="9"/>
      <c r="AF172" s="9"/>
    </row>
    <row r="173" customFormat="false" ht="15" hidden="false" customHeight="false" outlineLevel="0" collapsed="false">
      <c r="A173" s="8"/>
      <c r="B173" s="8" t="str">
        <f aca="false">IF(D173="","",Y173)</f>
        <v/>
      </c>
      <c r="C173" s="8" t="str">
        <f aca="false">IF(D173="","",Y173&amp;"_"&amp;D173)</f>
        <v/>
      </c>
      <c r="D173" s="9"/>
      <c r="E173" s="8" t="str">
        <f aca="false">IF(D173="","",TRIM(D173&amp;" "&amp;Y173&amp;" "&amp;Z173&amp;" "&amp;IF(AA173="","",TEXT(AA173,"0.00")&amp;"g")&amp;" "&amp;AB173&amp;" "&amp;AF173&amp;IF(AC173="",""," Sz# "&amp;AC173)&amp;IF(AD173="Preloved"," [Preloved]","")))</f>
        <v/>
      </c>
      <c r="F173" s="8"/>
      <c r="G173" s="10"/>
      <c r="H173" s="10"/>
      <c r="I173" s="8" t="str">
        <f aca="false">IF(D173="","",1)</f>
        <v/>
      </c>
      <c r="J173" s="8"/>
      <c r="K173" s="8" t="str">
        <f aca="false">IF(AA173="","",AA173/1000)</f>
        <v/>
      </c>
      <c r="L173" s="9"/>
      <c r="M173" s="9"/>
      <c r="N173" s="8"/>
      <c r="O173" s="9"/>
      <c r="P173" s="9"/>
      <c r="Q173" s="9"/>
      <c r="R173" s="9"/>
      <c r="S173" s="9"/>
      <c r="T173" s="9"/>
      <c r="U173" s="9"/>
      <c r="V173" s="9"/>
      <c r="W173" s="9"/>
      <c r="X173" s="9"/>
      <c r="Y173" s="9"/>
      <c r="Z173" s="9"/>
      <c r="AA173" s="9"/>
      <c r="AB173" s="9"/>
      <c r="AC173" s="9"/>
      <c r="AD173" s="9"/>
      <c r="AE173" s="9"/>
      <c r="AF173" s="9"/>
    </row>
    <row r="174" customFormat="false" ht="15" hidden="false" customHeight="false" outlineLevel="0" collapsed="false">
      <c r="A174" s="8"/>
      <c r="B174" s="8" t="str">
        <f aca="false">IF(D174="","",Y174)</f>
        <v/>
      </c>
      <c r="C174" s="8" t="str">
        <f aca="false">IF(D174="","",Y174&amp;"_"&amp;D174)</f>
        <v/>
      </c>
      <c r="D174" s="9"/>
      <c r="E174" s="8" t="str">
        <f aca="false">IF(D174="","",TRIM(D174&amp;" "&amp;Y174&amp;" "&amp;Z174&amp;" "&amp;IF(AA174="","",TEXT(AA174,"0.00")&amp;"g")&amp;" "&amp;AB174&amp;" "&amp;AF174&amp;IF(AC174="",""," Sz# "&amp;AC174)&amp;IF(AD174="Preloved"," [Preloved]","")))</f>
        <v/>
      </c>
      <c r="F174" s="8"/>
      <c r="G174" s="10"/>
      <c r="H174" s="10"/>
      <c r="I174" s="8" t="str">
        <f aca="false">IF(D174="","",1)</f>
        <v/>
      </c>
      <c r="J174" s="8"/>
      <c r="K174" s="8" t="str">
        <f aca="false">IF(AA174="","",AA174/1000)</f>
        <v/>
      </c>
      <c r="L174" s="9"/>
      <c r="M174" s="9"/>
      <c r="N174" s="8"/>
      <c r="O174" s="9"/>
      <c r="P174" s="9"/>
      <c r="Q174" s="9"/>
      <c r="R174" s="9"/>
      <c r="S174" s="9"/>
      <c r="T174" s="9"/>
      <c r="U174" s="9"/>
      <c r="V174" s="9"/>
      <c r="W174" s="9"/>
      <c r="X174" s="9"/>
      <c r="Y174" s="9"/>
      <c r="Z174" s="9"/>
      <c r="AA174" s="9"/>
      <c r="AB174" s="9"/>
      <c r="AC174" s="9"/>
      <c r="AD174" s="9"/>
      <c r="AE174" s="9"/>
      <c r="AF174" s="9"/>
    </row>
    <row r="175" customFormat="false" ht="15" hidden="false" customHeight="false" outlineLevel="0" collapsed="false">
      <c r="A175" s="8"/>
      <c r="B175" s="8" t="str">
        <f aca="false">IF(D175="","",Y175)</f>
        <v/>
      </c>
      <c r="C175" s="8" t="str">
        <f aca="false">IF(D175="","",Y175&amp;"_"&amp;D175)</f>
        <v/>
      </c>
      <c r="D175" s="9"/>
      <c r="E175" s="8" t="str">
        <f aca="false">IF(D175="","",TRIM(D175&amp;" "&amp;Y175&amp;" "&amp;Z175&amp;" "&amp;IF(AA175="","",TEXT(AA175,"0.00")&amp;"g")&amp;" "&amp;AB175&amp;" "&amp;AF175&amp;IF(AC175="",""," Sz# "&amp;AC175)&amp;IF(AD175="Preloved"," [Preloved]","")))</f>
        <v/>
      </c>
      <c r="F175" s="8"/>
      <c r="G175" s="10"/>
      <c r="H175" s="10"/>
      <c r="I175" s="8" t="str">
        <f aca="false">IF(D175="","",1)</f>
        <v/>
      </c>
      <c r="J175" s="8"/>
      <c r="K175" s="8" t="str">
        <f aca="false">IF(AA175="","",AA175/1000)</f>
        <v/>
      </c>
      <c r="L175" s="9"/>
      <c r="M175" s="9"/>
      <c r="N175" s="8"/>
      <c r="O175" s="9"/>
      <c r="P175" s="9"/>
      <c r="Q175" s="9"/>
      <c r="R175" s="9"/>
      <c r="S175" s="9"/>
      <c r="T175" s="9"/>
      <c r="U175" s="9"/>
      <c r="V175" s="9"/>
      <c r="W175" s="9"/>
      <c r="X175" s="9"/>
      <c r="Y175" s="9"/>
      <c r="Z175" s="9"/>
      <c r="AA175" s="9"/>
      <c r="AB175" s="9"/>
      <c r="AC175" s="9"/>
      <c r="AD175" s="9"/>
      <c r="AE175" s="9"/>
      <c r="AF175" s="9"/>
    </row>
    <row r="176" customFormat="false" ht="15" hidden="false" customHeight="false" outlineLevel="0" collapsed="false">
      <c r="A176" s="8"/>
      <c r="B176" s="8" t="str">
        <f aca="false">IF(D176="","",Y176)</f>
        <v/>
      </c>
      <c r="C176" s="8" t="str">
        <f aca="false">IF(D176="","",Y176&amp;"_"&amp;D176)</f>
        <v/>
      </c>
      <c r="D176" s="9"/>
      <c r="E176" s="8" t="str">
        <f aca="false">IF(D176="","",TRIM(D176&amp;" "&amp;Y176&amp;" "&amp;Z176&amp;" "&amp;IF(AA176="","",TEXT(AA176,"0.00")&amp;"g")&amp;" "&amp;AB176&amp;" "&amp;AF176&amp;IF(AC176="",""," Sz# "&amp;AC176)&amp;IF(AD176="Preloved"," [Preloved]","")))</f>
        <v/>
      </c>
      <c r="F176" s="8"/>
      <c r="G176" s="10"/>
      <c r="H176" s="10"/>
      <c r="I176" s="8" t="str">
        <f aca="false">IF(D176="","",1)</f>
        <v/>
      </c>
      <c r="J176" s="8"/>
      <c r="K176" s="8" t="str">
        <f aca="false">IF(AA176="","",AA176/1000)</f>
        <v/>
      </c>
      <c r="L176" s="9"/>
      <c r="M176" s="9"/>
      <c r="N176" s="8"/>
      <c r="O176" s="9"/>
      <c r="P176" s="9"/>
      <c r="Q176" s="9"/>
      <c r="R176" s="9"/>
      <c r="S176" s="9"/>
      <c r="T176" s="9"/>
      <c r="U176" s="9"/>
      <c r="V176" s="9"/>
      <c r="W176" s="9"/>
      <c r="X176" s="9"/>
      <c r="Y176" s="9"/>
      <c r="Z176" s="9"/>
      <c r="AA176" s="9"/>
      <c r="AB176" s="9"/>
      <c r="AC176" s="9"/>
      <c r="AD176" s="9"/>
      <c r="AE176" s="9"/>
      <c r="AF176" s="9"/>
    </row>
    <row r="177" customFormat="false" ht="15" hidden="false" customHeight="false" outlineLevel="0" collapsed="false">
      <c r="A177" s="8"/>
      <c r="B177" s="8" t="str">
        <f aca="false">IF(D177="","",Y177)</f>
        <v/>
      </c>
      <c r="C177" s="8" t="str">
        <f aca="false">IF(D177="","",Y177&amp;"_"&amp;D177)</f>
        <v/>
      </c>
      <c r="D177" s="9"/>
      <c r="E177" s="8" t="str">
        <f aca="false">IF(D177="","",TRIM(D177&amp;" "&amp;Y177&amp;" "&amp;Z177&amp;" "&amp;IF(AA177="","",TEXT(AA177,"0.00")&amp;"g")&amp;" "&amp;AB177&amp;" "&amp;AF177&amp;IF(AC177="",""," Sz# "&amp;AC177)&amp;IF(AD177="Preloved"," [Preloved]","")))</f>
        <v/>
      </c>
      <c r="F177" s="8"/>
      <c r="G177" s="10"/>
      <c r="H177" s="10"/>
      <c r="I177" s="8" t="str">
        <f aca="false">IF(D177="","",1)</f>
        <v/>
      </c>
      <c r="J177" s="8"/>
      <c r="K177" s="8" t="str">
        <f aca="false">IF(AA177="","",AA177/1000)</f>
        <v/>
      </c>
      <c r="L177" s="9"/>
      <c r="M177" s="9"/>
      <c r="N177" s="8"/>
      <c r="O177" s="9"/>
      <c r="P177" s="9"/>
      <c r="Q177" s="9"/>
      <c r="R177" s="9"/>
      <c r="S177" s="9"/>
      <c r="T177" s="9"/>
      <c r="U177" s="9"/>
      <c r="V177" s="9"/>
      <c r="W177" s="9"/>
      <c r="X177" s="9"/>
      <c r="Y177" s="9"/>
      <c r="Z177" s="9"/>
      <c r="AA177" s="9"/>
      <c r="AB177" s="9"/>
      <c r="AC177" s="9"/>
      <c r="AD177" s="9"/>
      <c r="AE177" s="9"/>
      <c r="AF177" s="9"/>
    </row>
    <row r="178" customFormat="false" ht="15" hidden="false" customHeight="false" outlineLevel="0" collapsed="false">
      <c r="A178" s="8"/>
      <c r="B178" s="8" t="str">
        <f aca="false">IF(D178="","",Y178)</f>
        <v/>
      </c>
      <c r="C178" s="8" t="str">
        <f aca="false">IF(D178="","",Y178&amp;"_"&amp;D178)</f>
        <v/>
      </c>
      <c r="D178" s="9"/>
      <c r="E178" s="8" t="str">
        <f aca="false">IF(D178="","",TRIM(D178&amp;" "&amp;Y178&amp;" "&amp;Z178&amp;" "&amp;IF(AA178="","",TEXT(AA178,"0.00")&amp;"g")&amp;" "&amp;AB178&amp;" "&amp;AF178&amp;IF(AC178="",""," Sz# "&amp;AC178)&amp;IF(AD178="Preloved"," [Preloved]","")))</f>
        <v/>
      </c>
      <c r="F178" s="8"/>
      <c r="G178" s="10"/>
      <c r="H178" s="10"/>
      <c r="I178" s="8" t="str">
        <f aca="false">IF(D178="","",1)</f>
        <v/>
      </c>
      <c r="J178" s="8"/>
      <c r="K178" s="8" t="str">
        <f aca="false">IF(AA178="","",AA178/1000)</f>
        <v/>
      </c>
      <c r="L178" s="9"/>
      <c r="M178" s="9"/>
      <c r="N178" s="8"/>
      <c r="O178" s="9"/>
      <c r="P178" s="9"/>
      <c r="Q178" s="9"/>
      <c r="R178" s="9"/>
      <c r="S178" s="9"/>
      <c r="T178" s="9"/>
      <c r="U178" s="9"/>
      <c r="V178" s="9"/>
      <c r="W178" s="9"/>
      <c r="X178" s="9"/>
      <c r="Y178" s="9"/>
      <c r="Z178" s="9"/>
      <c r="AA178" s="9"/>
      <c r="AB178" s="9"/>
      <c r="AC178" s="9"/>
      <c r="AD178" s="9"/>
      <c r="AE178" s="9"/>
      <c r="AF178" s="9"/>
    </row>
    <row r="179" customFormat="false" ht="15" hidden="false" customHeight="false" outlineLevel="0" collapsed="false">
      <c r="A179" s="8"/>
      <c r="B179" s="8" t="str">
        <f aca="false">IF(D179="","",Y179)</f>
        <v/>
      </c>
      <c r="C179" s="8" t="str">
        <f aca="false">IF(D179="","",Y179&amp;"_"&amp;D179)</f>
        <v/>
      </c>
      <c r="D179" s="9"/>
      <c r="E179" s="8" t="str">
        <f aca="false">IF(D179="","",TRIM(D179&amp;" "&amp;Y179&amp;" "&amp;Z179&amp;" "&amp;IF(AA179="","",TEXT(AA179,"0.00")&amp;"g")&amp;" "&amp;AB179&amp;" "&amp;AF179&amp;IF(AC179="",""," Sz# "&amp;AC179)&amp;IF(AD179="Preloved"," [Preloved]","")))</f>
        <v/>
      </c>
      <c r="F179" s="8"/>
      <c r="G179" s="10"/>
      <c r="H179" s="10"/>
      <c r="I179" s="8" t="str">
        <f aca="false">IF(D179="","",1)</f>
        <v/>
      </c>
      <c r="J179" s="8"/>
      <c r="K179" s="8" t="str">
        <f aca="false">IF(AA179="","",AA179/1000)</f>
        <v/>
      </c>
      <c r="L179" s="9"/>
      <c r="M179" s="9"/>
      <c r="N179" s="8"/>
      <c r="O179" s="9"/>
      <c r="P179" s="9"/>
      <c r="Q179" s="9"/>
      <c r="R179" s="9"/>
      <c r="S179" s="9"/>
      <c r="T179" s="9"/>
      <c r="U179" s="9"/>
      <c r="V179" s="9"/>
      <c r="W179" s="9"/>
      <c r="X179" s="9"/>
      <c r="Y179" s="9"/>
      <c r="Z179" s="9"/>
      <c r="AA179" s="9"/>
      <c r="AB179" s="9"/>
      <c r="AC179" s="9"/>
      <c r="AD179" s="9"/>
      <c r="AE179" s="9"/>
      <c r="AF179" s="9"/>
    </row>
    <row r="180" customFormat="false" ht="15" hidden="false" customHeight="false" outlineLevel="0" collapsed="false">
      <c r="A180" s="8"/>
      <c r="B180" s="8" t="str">
        <f aca="false">IF(D180="","",Y180)</f>
        <v/>
      </c>
      <c r="C180" s="8" t="str">
        <f aca="false">IF(D180="","",Y180&amp;"_"&amp;D180)</f>
        <v/>
      </c>
      <c r="D180" s="9"/>
      <c r="E180" s="8" t="str">
        <f aca="false">IF(D180="","",TRIM(D180&amp;" "&amp;Y180&amp;" "&amp;Z180&amp;" "&amp;IF(AA180="","",TEXT(AA180,"0.00")&amp;"g")&amp;" "&amp;AB180&amp;" "&amp;AF180&amp;IF(AC180="",""," Sz# "&amp;AC180)&amp;IF(AD180="Preloved"," [Preloved]","")))</f>
        <v/>
      </c>
      <c r="F180" s="8"/>
      <c r="G180" s="10"/>
      <c r="H180" s="10"/>
      <c r="I180" s="8" t="str">
        <f aca="false">IF(D180="","",1)</f>
        <v/>
      </c>
      <c r="J180" s="8"/>
      <c r="K180" s="8" t="str">
        <f aca="false">IF(AA180="","",AA180/1000)</f>
        <v/>
      </c>
      <c r="L180" s="9"/>
      <c r="M180" s="9"/>
      <c r="N180" s="8"/>
      <c r="O180" s="9"/>
      <c r="P180" s="9"/>
      <c r="Q180" s="9"/>
      <c r="R180" s="9"/>
      <c r="S180" s="9"/>
      <c r="T180" s="9"/>
      <c r="U180" s="9"/>
      <c r="V180" s="9"/>
      <c r="W180" s="9"/>
      <c r="X180" s="9"/>
      <c r="Y180" s="9"/>
      <c r="Z180" s="9"/>
      <c r="AA180" s="9"/>
      <c r="AB180" s="9"/>
      <c r="AC180" s="9"/>
      <c r="AD180" s="9"/>
      <c r="AE180" s="9"/>
      <c r="AF180" s="9"/>
    </row>
    <row r="181" customFormat="false" ht="15" hidden="false" customHeight="false" outlineLevel="0" collapsed="false">
      <c r="A181" s="8"/>
      <c r="B181" s="8" t="str">
        <f aca="false">IF(D181="","",Y181)</f>
        <v/>
      </c>
      <c r="C181" s="8" t="str">
        <f aca="false">IF(D181="","",Y181&amp;"_"&amp;D181)</f>
        <v/>
      </c>
      <c r="D181" s="9"/>
      <c r="E181" s="8" t="str">
        <f aca="false">IF(D181="","",TRIM(D181&amp;" "&amp;Y181&amp;" "&amp;Z181&amp;" "&amp;IF(AA181="","",TEXT(AA181,"0.00")&amp;"g")&amp;" "&amp;AB181&amp;" "&amp;AF181&amp;IF(AC181="",""," Sz# "&amp;AC181)&amp;IF(AD181="Preloved"," [Preloved]","")))</f>
        <v/>
      </c>
      <c r="F181" s="8"/>
      <c r="G181" s="10"/>
      <c r="H181" s="10"/>
      <c r="I181" s="8" t="str">
        <f aca="false">IF(D181="","",1)</f>
        <v/>
      </c>
      <c r="J181" s="8"/>
      <c r="K181" s="8" t="str">
        <f aca="false">IF(AA181="","",AA181/1000)</f>
        <v/>
      </c>
      <c r="L181" s="9"/>
      <c r="M181" s="9"/>
      <c r="N181" s="8"/>
      <c r="O181" s="9"/>
      <c r="P181" s="9"/>
      <c r="Q181" s="9"/>
      <c r="R181" s="9"/>
      <c r="S181" s="9"/>
      <c r="T181" s="9"/>
      <c r="U181" s="9"/>
      <c r="V181" s="9"/>
      <c r="W181" s="9"/>
      <c r="X181" s="9"/>
      <c r="Y181" s="9"/>
      <c r="Z181" s="9"/>
      <c r="AA181" s="9"/>
      <c r="AB181" s="9"/>
      <c r="AC181" s="9"/>
      <c r="AD181" s="9"/>
      <c r="AE181" s="9"/>
      <c r="AF181" s="9"/>
    </row>
    <row r="182" customFormat="false" ht="15" hidden="false" customHeight="false" outlineLevel="0" collapsed="false">
      <c r="A182" s="8"/>
      <c r="B182" s="8" t="str">
        <f aca="false">IF(D182="","",Y182)</f>
        <v/>
      </c>
      <c r="C182" s="8" t="str">
        <f aca="false">IF(D182="","",Y182&amp;"_"&amp;D182)</f>
        <v/>
      </c>
      <c r="D182" s="9"/>
      <c r="E182" s="8" t="str">
        <f aca="false">IF(D182="","",TRIM(D182&amp;" "&amp;Y182&amp;" "&amp;Z182&amp;" "&amp;IF(AA182="","",TEXT(AA182,"0.00")&amp;"g")&amp;" "&amp;AB182&amp;" "&amp;AF182&amp;IF(AC182="",""," Sz# "&amp;AC182)&amp;IF(AD182="Preloved"," [Preloved]","")))</f>
        <v/>
      </c>
      <c r="F182" s="8"/>
      <c r="G182" s="10"/>
      <c r="H182" s="10"/>
      <c r="I182" s="8" t="str">
        <f aca="false">IF(D182="","",1)</f>
        <v/>
      </c>
      <c r="J182" s="8"/>
      <c r="K182" s="8" t="str">
        <f aca="false">IF(AA182="","",AA182/1000)</f>
        <v/>
      </c>
      <c r="L182" s="9"/>
      <c r="M182" s="9"/>
      <c r="N182" s="8"/>
      <c r="O182" s="9"/>
      <c r="P182" s="9"/>
      <c r="Q182" s="9"/>
      <c r="R182" s="9"/>
      <c r="S182" s="9"/>
      <c r="T182" s="9"/>
      <c r="U182" s="9"/>
      <c r="V182" s="9"/>
      <c r="W182" s="9"/>
      <c r="X182" s="9"/>
      <c r="Y182" s="9"/>
      <c r="Z182" s="9"/>
      <c r="AA182" s="9"/>
      <c r="AB182" s="9"/>
      <c r="AC182" s="9"/>
      <c r="AD182" s="9"/>
      <c r="AE182" s="9"/>
      <c r="AF182" s="9"/>
    </row>
    <row r="183" customFormat="false" ht="15" hidden="false" customHeight="false" outlineLevel="0" collapsed="false">
      <c r="A183" s="8"/>
      <c r="B183" s="8" t="str">
        <f aca="false">IF(D183="","",Y183)</f>
        <v/>
      </c>
      <c r="C183" s="8" t="str">
        <f aca="false">IF(D183="","",Y183&amp;"_"&amp;D183)</f>
        <v/>
      </c>
      <c r="D183" s="9"/>
      <c r="E183" s="8" t="str">
        <f aca="false">IF(D183="","",TRIM(D183&amp;" "&amp;Y183&amp;" "&amp;Z183&amp;" "&amp;IF(AA183="","",TEXT(AA183,"0.00")&amp;"g")&amp;" "&amp;AB183&amp;" "&amp;AF183&amp;IF(AC183="",""," Sz# "&amp;AC183)&amp;IF(AD183="Preloved"," [Preloved]","")))</f>
        <v/>
      </c>
      <c r="F183" s="8"/>
      <c r="G183" s="10"/>
      <c r="H183" s="10"/>
      <c r="I183" s="8" t="str">
        <f aca="false">IF(D183="","",1)</f>
        <v/>
      </c>
      <c r="J183" s="8"/>
      <c r="K183" s="8" t="str">
        <f aca="false">IF(AA183="","",AA183/1000)</f>
        <v/>
      </c>
      <c r="L183" s="9"/>
      <c r="M183" s="9"/>
      <c r="N183" s="8"/>
      <c r="O183" s="9"/>
      <c r="P183" s="9"/>
      <c r="Q183" s="9"/>
      <c r="R183" s="9"/>
      <c r="S183" s="9"/>
      <c r="T183" s="9"/>
      <c r="U183" s="9"/>
      <c r="V183" s="9"/>
      <c r="W183" s="9"/>
      <c r="X183" s="9"/>
      <c r="Y183" s="9"/>
      <c r="Z183" s="9"/>
      <c r="AA183" s="9"/>
      <c r="AB183" s="9"/>
      <c r="AC183" s="9"/>
      <c r="AD183" s="9"/>
      <c r="AE183" s="9"/>
      <c r="AF183" s="9"/>
    </row>
    <row r="184" customFormat="false" ht="15" hidden="false" customHeight="false" outlineLevel="0" collapsed="false">
      <c r="A184" s="8"/>
      <c r="B184" s="8" t="str">
        <f aca="false">IF(D184="","",Y184)</f>
        <v/>
      </c>
      <c r="C184" s="8" t="str">
        <f aca="false">IF(D184="","",Y184&amp;"_"&amp;D184)</f>
        <v/>
      </c>
      <c r="D184" s="9"/>
      <c r="E184" s="8" t="str">
        <f aca="false">IF(D184="","",TRIM(D184&amp;" "&amp;Y184&amp;" "&amp;Z184&amp;" "&amp;IF(AA184="","",TEXT(AA184,"0.00")&amp;"g")&amp;" "&amp;AB184&amp;" "&amp;AF184&amp;IF(AC184="",""," Sz# "&amp;AC184)&amp;IF(AD184="Preloved"," [Preloved]","")))</f>
        <v/>
      </c>
      <c r="F184" s="8"/>
      <c r="G184" s="10"/>
      <c r="H184" s="10"/>
      <c r="I184" s="8" t="str">
        <f aca="false">IF(D184="","",1)</f>
        <v/>
      </c>
      <c r="J184" s="8"/>
      <c r="K184" s="8" t="str">
        <f aca="false">IF(AA184="","",AA184/1000)</f>
        <v/>
      </c>
      <c r="L184" s="9"/>
      <c r="M184" s="9"/>
      <c r="N184" s="8"/>
      <c r="O184" s="9"/>
      <c r="P184" s="9"/>
      <c r="Q184" s="9"/>
      <c r="R184" s="9"/>
      <c r="S184" s="9"/>
      <c r="T184" s="9"/>
      <c r="U184" s="9"/>
      <c r="V184" s="9"/>
      <c r="W184" s="9"/>
      <c r="X184" s="9"/>
      <c r="Y184" s="9"/>
      <c r="Z184" s="9"/>
      <c r="AA184" s="9"/>
      <c r="AB184" s="9"/>
      <c r="AC184" s="9"/>
      <c r="AD184" s="9"/>
      <c r="AE184" s="9"/>
      <c r="AF184" s="9"/>
    </row>
    <row r="185" customFormat="false" ht="15" hidden="false" customHeight="false" outlineLevel="0" collapsed="false">
      <c r="A185" s="8"/>
      <c r="B185" s="8" t="str">
        <f aca="false">IF(D185="","",Y185)</f>
        <v/>
      </c>
      <c r="C185" s="8" t="str">
        <f aca="false">IF(D185="","",Y185&amp;"_"&amp;D185)</f>
        <v/>
      </c>
      <c r="D185" s="9"/>
      <c r="E185" s="8" t="str">
        <f aca="false">IF(D185="","",TRIM(D185&amp;" "&amp;Y185&amp;" "&amp;Z185&amp;" "&amp;IF(AA185="","",TEXT(AA185,"0.00")&amp;"g")&amp;" "&amp;AB185&amp;" "&amp;AF185&amp;IF(AC185="",""," Sz# "&amp;AC185)&amp;IF(AD185="Preloved"," [Preloved]","")))</f>
        <v/>
      </c>
      <c r="F185" s="8"/>
      <c r="G185" s="10"/>
      <c r="H185" s="10"/>
      <c r="I185" s="8" t="str">
        <f aca="false">IF(D185="","",1)</f>
        <v/>
      </c>
      <c r="J185" s="8"/>
      <c r="K185" s="8" t="str">
        <f aca="false">IF(AA185="","",AA185/1000)</f>
        <v/>
      </c>
      <c r="L185" s="9"/>
      <c r="M185" s="9"/>
      <c r="N185" s="8"/>
      <c r="O185" s="9"/>
      <c r="P185" s="9"/>
      <c r="Q185" s="9"/>
      <c r="R185" s="9"/>
      <c r="S185" s="9"/>
      <c r="T185" s="9"/>
      <c r="U185" s="9"/>
      <c r="V185" s="9"/>
      <c r="W185" s="9"/>
      <c r="X185" s="9"/>
      <c r="Y185" s="9"/>
      <c r="Z185" s="9"/>
      <c r="AA185" s="9"/>
      <c r="AB185" s="9"/>
      <c r="AC185" s="9"/>
      <c r="AD185" s="9"/>
      <c r="AE185" s="9"/>
      <c r="AF185" s="9"/>
    </row>
    <row r="186" customFormat="false" ht="15" hidden="false" customHeight="false" outlineLevel="0" collapsed="false">
      <c r="A186" s="8"/>
      <c r="B186" s="8" t="str">
        <f aca="false">IF(D186="","",Y186)</f>
        <v/>
      </c>
      <c r="C186" s="8" t="str">
        <f aca="false">IF(D186="","",Y186&amp;"_"&amp;D186)</f>
        <v/>
      </c>
      <c r="D186" s="9"/>
      <c r="E186" s="8" t="str">
        <f aca="false">IF(D186="","",TRIM(D186&amp;" "&amp;Y186&amp;" "&amp;Z186&amp;" "&amp;IF(AA186="","",TEXT(AA186,"0.00")&amp;"g")&amp;" "&amp;AB186&amp;" "&amp;AF186&amp;IF(AC186="",""," Sz# "&amp;AC186)&amp;IF(AD186="Preloved"," [Preloved]","")))</f>
        <v/>
      </c>
      <c r="F186" s="8"/>
      <c r="G186" s="10"/>
      <c r="H186" s="10"/>
      <c r="I186" s="8" t="str">
        <f aca="false">IF(D186="","",1)</f>
        <v/>
      </c>
      <c r="J186" s="8"/>
      <c r="K186" s="8" t="str">
        <f aca="false">IF(AA186="","",AA186/1000)</f>
        <v/>
      </c>
      <c r="L186" s="9"/>
      <c r="M186" s="9"/>
      <c r="N186" s="8"/>
      <c r="O186" s="9"/>
      <c r="P186" s="9"/>
      <c r="Q186" s="9"/>
      <c r="R186" s="9"/>
      <c r="S186" s="9"/>
      <c r="T186" s="9"/>
      <c r="U186" s="9"/>
      <c r="V186" s="9"/>
      <c r="W186" s="9"/>
      <c r="X186" s="9"/>
      <c r="Y186" s="9"/>
      <c r="Z186" s="9"/>
      <c r="AA186" s="9"/>
      <c r="AB186" s="9"/>
      <c r="AC186" s="9"/>
      <c r="AD186" s="9"/>
      <c r="AE186" s="9"/>
      <c r="AF186" s="9"/>
    </row>
    <row r="187" customFormat="false" ht="15" hidden="false" customHeight="false" outlineLevel="0" collapsed="false">
      <c r="A187" s="8"/>
      <c r="B187" s="8" t="str">
        <f aca="false">IF(D187="","",Y187)</f>
        <v/>
      </c>
      <c r="C187" s="8" t="str">
        <f aca="false">IF(D187="","",Y187&amp;"_"&amp;D187)</f>
        <v/>
      </c>
      <c r="D187" s="9"/>
      <c r="E187" s="8" t="str">
        <f aca="false">IF(D187="","",TRIM(D187&amp;" "&amp;Y187&amp;" "&amp;Z187&amp;" "&amp;IF(AA187="","",TEXT(AA187,"0.00")&amp;"g")&amp;" "&amp;AB187&amp;" "&amp;AF187&amp;IF(AC187="",""," Sz# "&amp;AC187)&amp;IF(AD187="Preloved"," [Preloved]","")))</f>
        <v/>
      </c>
      <c r="F187" s="8"/>
      <c r="G187" s="10"/>
      <c r="H187" s="10"/>
      <c r="I187" s="8" t="str">
        <f aca="false">IF(D187="","",1)</f>
        <v/>
      </c>
      <c r="J187" s="8"/>
      <c r="K187" s="8" t="str">
        <f aca="false">IF(AA187="","",AA187/1000)</f>
        <v/>
      </c>
      <c r="L187" s="9"/>
      <c r="M187" s="9"/>
      <c r="N187" s="8"/>
      <c r="O187" s="9"/>
      <c r="P187" s="9"/>
      <c r="Q187" s="9"/>
      <c r="R187" s="9"/>
      <c r="S187" s="9"/>
      <c r="T187" s="9"/>
      <c r="U187" s="9"/>
      <c r="V187" s="9"/>
      <c r="W187" s="9"/>
      <c r="X187" s="9"/>
      <c r="Y187" s="9"/>
      <c r="Z187" s="9"/>
      <c r="AA187" s="9"/>
      <c r="AB187" s="9"/>
      <c r="AC187" s="9"/>
      <c r="AD187" s="9"/>
      <c r="AE187" s="9"/>
      <c r="AF187" s="9"/>
    </row>
    <row r="188" customFormat="false" ht="15" hidden="false" customHeight="false" outlineLevel="0" collapsed="false">
      <c r="A188" s="8"/>
      <c r="B188" s="8" t="str">
        <f aca="false">IF(D188="","",Y188)</f>
        <v/>
      </c>
      <c r="C188" s="8" t="str">
        <f aca="false">IF(D188="","",Y188&amp;"_"&amp;D188)</f>
        <v/>
      </c>
      <c r="D188" s="9"/>
      <c r="E188" s="8" t="str">
        <f aca="false">IF(D188="","",TRIM(D188&amp;" "&amp;Y188&amp;" "&amp;Z188&amp;" "&amp;IF(AA188="","",TEXT(AA188,"0.00")&amp;"g")&amp;" "&amp;AB188&amp;" "&amp;AF188&amp;IF(AC188="",""," Sz# "&amp;AC188)&amp;IF(AD188="Preloved"," [Preloved]","")))</f>
        <v/>
      </c>
      <c r="F188" s="8"/>
      <c r="G188" s="10"/>
      <c r="H188" s="10"/>
      <c r="I188" s="8" t="str">
        <f aca="false">IF(D188="","",1)</f>
        <v/>
      </c>
      <c r="J188" s="8"/>
      <c r="K188" s="8" t="str">
        <f aca="false">IF(AA188="","",AA188/1000)</f>
        <v/>
      </c>
      <c r="L188" s="9"/>
      <c r="M188" s="9"/>
      <c r="N188" s="8"/>
      <c r="O188" s="9"/>
      <c r="P188" s="9"/>
      <c r="Q188" s="9"/>
      <c r="R188" s="9"/>
      <c r="S188" s="9"/>
      <c r="T188" s="9"/>
      <c r="U188" s="9"/>
      <c r="V188" s="9"/>
      <c r="W188" s="9"/>
      <c r="X188" s="9"/>
      <c r="Y188" s="9"/>
      <c r="Z188" s="9"/>
      <c r="AA188" s="9"/>
      <c r="AB188" s="9"/>
      <c r="AC188" s="9"/>
      <c r="AD188" s="9"/>
      <c r="AE188" s="9"/>
      <c r="AF188" s="9"/>
    </row>
    <row r="189" customFormat="false" ht="15" hidden="false" customHeight="false" outlineLevel="0" collapsed="false">
      <c r="A189" s="8"/>
      <c r="B189" s="8" t="str">
        <f aca="false">IF(D189="","",Y189)</f>
        <v/>
      </c>
      <c r="C189" s="8" t="str">
        <f aca="false">IF(D189="","",Y189&amp;"_"&amp;D189)</f>
        <v/>
      </c>
      <c r="D189" s="9"/>
      <c r="E189" s="8" t="str">
        <f aca="false">IF(D189="","",TRIM(D189&amp;" "&amp;Y189&amp;" "&amp;Z189&amp;" "&amp;IF(AA189="","",TEXT(AA189,"0.00")&amp;"g")&amp;" "&amp;AB189&amp;" "&amp;AF189&amp;IF(AC189="",""," Sz# "&amp;AC189)&amp;IF(AD189="Preloved"," [Preloved]","")))</f>
        <v/>
      </c>
      <c r="F189" s="8"/>
      <c r="G189" s="10"/>
      <c r="H189" s="10"/>
      <c r="I189" s="8" t="str">
        <f aca="false">IF(D189="","",1)</f>
        <v/>
      </c>
      <c r="J189" s="8"/>
      <c r="K189" s="8" t="str">
        <f aca="false">IF(AA189="","",AA189/1000)</f>
        <v/>
      </c>
      <c r="L189" s="9"/>
      <c r="M189" s="9"/>
      <c r="N189" s="8"/>
      <c r="O189" s="9"/>
      <c r="P189" s="9"/>
      <c r="Q189" s="9"/>
      <c r="R189" s="9"/>
      <c r="S189" s="9"/>
      <c r="T189" s="9"/>
      <c r="U189" s="9"/>
      <c r="V189" s="9"/>
      <c r="W189" s="9"/>
      <c r="X189" s="9"/>
      <c r="Y189" s="9"/>
      <c r="Z189" s="9"/>
      <c r="AA189" s="9"/>
      <c r="AB189" s="9"/>
      <c r="AC189" s="9"/>
      <c r="AD189" s="9"/>
      <c r="AE189" s="9"/>
      <c r="AF189" s="9"/>
    </row>
    <row r="190" customFormat="false" ht="15" hidden="false" customHeight="false" outlineLevel="0" collapsed="false">
      <c r="A190" s="8"/>
      <c r="B190" s="8" t="str">
        <f aca="false">IF(D190="","",Y190)</f>
        <v/>
      </c>
      <c r="C190" s="8" t="str">
        <f aca="false">IF(D190="","",Y190&amp;"_"&amp;D190)</f>
        <v/>
      </c>
      <c r="D190" s="9"/>
      <c r="E190" s="8" t="str">
        <f aca="false">IF(D190="","",TRIM(D190&amp;" "&amp;Y190&amp;" "&amp;Z190&amp;" "&amp;IF(AA190="","",TEXT(AA190,"0.00")&amp;"g")&amp;" "&amp;AB190&amp;" "&amp;AF190&amp;IF(AC190="",""," Sz# "&amp;AC190)&amp;IF(AD190="Preloved"," [Preloved]","")))</f>
        <v/>
      </c>
      <c r="F190" s="8"/>
      <c r="G190" s="10"/>
      <c r="H190" s="10"/>
      <c r="I190" s="8" t="str">
        <f aca="false">IF(D190="","",1)</f>
        <v/>
      </c>
      <c r="J190" s="8"/>
      <c r="K190" s="8" t="str">
        <f aca="false">IF(AA190="","",AA190/1000)</f>
        <v/>
      </c>
      <c r="L190" s="9"/>
      <c r="M190" s="9"/>
      <c r="N190" s="8"/>
      <c r="O190" s="9"/>
      <c r="P190" s="9"/>
      <c r="Q190" s="9"/>
      <c r="R190" s="9"/>
      <c r="S190" s="9"/>
      <c r="T190" s="9"/>
      <c r="U190" s="9"/>
      <c r="V190" s="9"/>
      <c r="W190" s="9"/>
      <c r="X190" s="9"/>
      <c r="Y190" s="9"/>
      <c r="Z190" s="9"/>
      <c r="AA190" s="9"/>
      <c r="AB190" s="9"/>
      <c r="AC190" s="9"/>
      <c r="AD190" s="9"/>
      <c r="AE190" s="9"/>
      <c r="AF190" s="9"/>
    </row>
    <row r="191" customFormat="false" ht="15" hidden="false" customHeight="false" outlineLevel="0" collapsed="false">
      <c r="A191" s="8"/>
      <c r="B191" s="8" t="str">
        <f aca="false">IF(D191="","",Y191)</f>
        <v/>
      </c>
      <c r="C191" s="8" t="str">
        <f aca="false">IF(D191="","",Y191&amp;"_"&amp;D191)</f>
        <v/>
      </c>
      <c r="D191" s="9"/>
      <c r="E191" s="8" t="str">
        <f aca="false">IF(D191="","",TRIM(D191&amp;" "&amp;Y191&amp;" "&amp;Z191&amp;" "&amp;IF(AA191="","",TEXT(AA191,"0.00")&amp;"g")&amp;" "&amp;AB191&amp;" "&amp;AF191&amp;IF(AC191="",""," Sz# "&amp;AC191)&amp;IF(AD191="Preloved"," [Preloved]","")))</f>
        <v/>
      </c>
      <c r="F191" s="8"/>
      <c r="G191" s="10"/>
      <c r="H191" s="10"/>
      <c r="I191" s="8" t="str">
        <f aca="false">IF(D191="","",1)</f>
        <v/>
      </c>
      <c r="J191" s="8"/>
      <c r="K191" s="8" t="str">
        <f aca="false">IF(AA191="","",AA191/1000)</f>
        <v/>
      </c>
      <c r="L191" s="9"/>
      <c r="M191" s="9"/>
      <c r="N191" s="8"/>
      <c r="O191" s="9"/>
      <c r="P191" s="9"/>
      <c r="Q191" s="9"/>
      <c r="R191" s="9"/>
      <c r="S191" s="9"/>
      <c r="T191" s="9"/>
      <c r="U191" s="9"/>
      <c r="V191" s="9"/>
      <c r="W191" s="9"/>
      <c r="X191" s="9"/>
      <c r="Y191" s="9"/>
      <c r="Z191" s="9"/>
      <c r="AA191" s="9"/>
      <c r="AB191" s="9"/>
      <c r="AC191" s="9"/>
      <c r="AD191" s="9"/>
      <c r="AE191" s="9"/>
      <c r="AF191" s="9"/>
    </row>
    <row r="192" customFormat="false" ht="15" hidden="false" customHeight="false" outlineLevel="0" collapsed="false">
      <c r="A192" s="8"/>
      <c r="B192" s="8" t="str">
        <f aca="false">IF(D192="","",Y192)</f>
        <v/>
      </c>
      <c r="C192" s="8" t="str">
        <f aca="false">IF(D192="","",Y192&amp;"_"&amp;D192)</f>
        <v/>
      </c>
      <c r="D192" s="9"/>
      <c r="E192" s="8" t="str">
        <f aca="false">IF(D192="","",TRIM(D192&amp;" "&amp;Y192&amp;" "&amp;Z192&amp;" "&amp;IF(AA192="","",TEXT(AA192,"0.00")&amp;"g")&amp;" "&amp;AB192&amp;" "&amp;AF192&amp;IF(AC192="",""," Sz# "&amp;AC192)&amp;IF(AD192="Preloved"," [Preloved]","")))</f>
        <v/>
      </c>
      <c r="F192" s="8"/>
      <c r="G192" s="10"/>
      <c r="H192" s="10"/>
      <c r="I192" s="8" t="str">
        <f aca="false">IF(D192="","",1)</f>
        <v/>
      </c>
      <c r="J192" s="8"/>
      <c r="K192" s="8" t="str">
        <f aca="false">IF(AA192="","",AA192/1000)</f>
        <v/>
      </c>
      <c r="L192" s="9"/>
      <c r="M192" s="9"/>
      <c r="N192" s="8"/>
      <c r="O192" s="9"/>
      <c r="P192" s="9"/>
      <c r="Q192" s="9"/>
      <c r="R192" s="9"/>
      <c r="S192" s="9"/>
      <c r="T192" s="9"/>
      <c r="U192" s="9"/>
      <c r="V192" s="9"/>
      <c r="W192" s="9"/>
      <c r="X192" s="9"/>
      <c r="Y192" s="9"/>
      <c r="Z192" s="9"/>
      <c r="AA192" s="9"/>
      <c r="AB192" s="9"/>
      <c r="AC192" s="9"/>
      <c r="AD192" s="9"/>
      <c r="AE192" s="9"/>
      <c r="AF192" s="9"/>
    </row>
    <row r="193" customFormat="false" ht="15" hidden="false" customHeight="false" outlineLevel="0" collapsed="false">
      <c r="A193" s="8"/>
      <c r="B193" s="8" t="str">
        <f aca="false">IF(D193="","",Y193)</f>
        <v/>
      </c>
      <c r="C193" s="8" t="str">
        <f aca="false">IF(D193="","",Y193&amp;"_"&amp;D193)</f>
        <v/>
      </c>
      <c r="D193" s="9"/>
      <c r="E193" s="8" t="str">
        <f aca="false">IF(D193="","",TRIM(D193&amp;" "&amp;Y193&amp;" "&amp;Z193&amp;" "&amp;IF(AA193="","",TEXT(AA193,"0.00")&amp;"g")&amp;" "&amp;AB193&amp;" "&amp;AF193&amp;IF(AC193="",""," Sz# "&amp;AC193)&amp;IF(AD193="Preloved"," [Preloved]","")))</f>
        <v/>
      </c>
      <c r="F193" s="8"/>
      <c r="G193" s="10"/>
      <c r="H193" s="10"/>
      <c r="I193" s="8" t="str">
        <f aca="false">IF(D193="","",1)</f>
        <v/>
      </c>
      <c r="J193" s="8"/>
      <c r="K193" s="8" t="str">
        <f aca="false">IF(AA193="","",AA193/1000)</f>
        <v/>
      </c>
      <c r="L193" s="9"/>
      <c r="M193" s="9"/>
      <c r="N193" s="8"/>
      <c r="O193" s="9"/>
      <c r="P193" s="9"/>
      <c r="Q193" s="9"/>
      <c r="R193" s="9"/>
      <c r="S193" s="9"/>
      <c r="T193" s="9"/>
      <c r="U193" s="9"/>
      <c r="V193" s="9"/>
      <c r="W193" s="9"/>
      <c r="X193" s="9"/>
      <c r="Y193" s="9"/>
      <c r="Z193" s="9"/>
      <c r="AA193" s="9"/>
      <c r="AB193" s="9"/>
      <c r="AC193" s="9"/>
      <c r="AD193" s="9"/>
      <c r="AE193" s="9"/>
      <c r="AF193" s="9"/>
    </row>
    <row r="194" customFormat="false" ht="15" hidden="false" customHeight="false" outlineLevel="0" collapsed="false">
      <c r="A194" s="8"/>
      <c r="B194" s="8" t="str">
        <f aca="false">IF(D194="","",Y194)</f>
        <v/>
      </c>
      <c r="C194" s="8" t="str">
        <f aca="false">IF(D194="","",Y194&amp;"_"&amp;D194)</f>
        <v/>
      </c>
      <c r="D194" s="9"/>
      <c r="E194" s="8" t="str">
        <f aca="false">IF(D194="","",TRIM(D194&amp;" "&amp;Y194&amp;" "&amp;Z194&amp;" "&amp;IF(AA194="","",TEXT(AA194,"0.00")&amp;"g")&amp;" "&amp;AB194&amp;" "&amp;AF194&amp;IF(AC194="",""," Sz# "&amp;AC194)&amp;IF(AD194="Preloved"," [Preloved]","")))</f>
        <v/>
      </c>
      <c r="F194" s="8"/>
      <c r="G194" s="10"/>
      <c r="H194" s="10"/>
      <c r="I194" s="8" t="str">
        <f aca="false">IF(D194="","",1)</f>
        <v/>
      </c>
      <c r="J194" s="8"/>
      <c r="K194" s="8" t="str">
        <f aca="false">IF(AA194="","",AA194/1000)</f>
        <v/>
      </c>
      <c r="L194" s="9"/>
      <c r="M194" s="9"/>
      <c r="N194" s="8"/>
      <c r="O194" s="9"/>
      <c r="P194" s="9"/>
      <c r="Q194" s="9"/>
      <c r="R194" s="9"/>
      <c r="S194" s="9"/>
      <c r="T194" s="9"/>
      <c r="U194" s="9"/>
      <c r="V194" s="9"/>
      <c r="W194" s="9"/>
      <c r="X194" s="9"/>
      <c r="Y194" s="9"/>
      <c r="Z194" s="9"/>
      <c r="AA194" s="9"/>
      <c r="AB194" s="9"/>
      <c r="AC194" s="9"/>
      <c r="AD194" s="9"/>
      <c r="AE194" s="9"/>
      <c r="AF194" s="9"/>
    </row>
    <row r="195" customFormat="false" ht="15" hidden="false" customHeight="false" outlineLevel="0" collapsed="false">
      <c r="A195" s="8"/>
      <c r="B195" s="8" t="str">
        <f aca="false">IF(D195="","",Y195)</f>
        <v/>
      </c>
      <c r="C195" s="8" t="str">
        <f aca="false">IF(D195="","",Y195&amp;"_"&amp;D195)</f>
        <v/>
      </c>
      <c r="D195" s="9"/>
      <c r="E195" s="8" t="str">
        <f aca="false">IF(D195="","",TRIM(D195&amp;" "&amp;Y195&amp;" "&amp;Z195&amp;" "&amp;IF(AA195="","",TEXT(AA195,"0.00")&amp;"g")&amp;" "&amp;AB195&amp;" "&amp;AF195&amp;IF(AC195="",""," Sz# "&amp;AC195)&amp;IF(AD195="Preloved"," [Preloved]","")))</f>
        <v/>
      </c>
      <c r="F195" s="8"/>
      <c r="G195" s="10"/>
      <c r="H195" s="10"/>
      <c r="I195" s="8" t="str">
        <f aca="false">IF(D195="","",1)</f>
        <v/>
      </c>
      <c r="J195" s="8"/>
      <c r="K195" s="8" t="str">
        <f aca="false">IF(AA195="","",AA195/1000)</f>
        <v/>
      </c>
      <c r="L195" s="9"/>
      <c r="M195" s="9"/>
      <c r="N195" s="8"/>
      <c r="O195" s="9"/>
      <c r="P195" s="9"/>
      <c r="Q195" s="9"/>
      <c r="R195" s="9"/>
      <c r="S195" s="9"/>
      <c r="T195" s="9"/>
      <c r="U195" s="9"/>
      <c r="V195" s="9"/>
      <c r="W195" s="9"/>
      <c r="X195" s="9"/>
      <c r="Y195" s="9"/>
      <c r="Z195" s="9"/>
      <c r="AA195" s="9"/>
      <c r="AB195" s="9"/>
      <c r="AC195" s="9"/>
      <c r="AD195" s="9"/>
      <c r="AE195" s="9"/>
      <c r="AF195" s="9"/>
    </row>
    <row r="196" customFormat="false" ht="15" hidden="false" customHeight="false" outlineLevel="0" collapsed="false">
      <c r="A196" s="8"/>
      <c r="B196" s="8" t="str">
        <f aca="false">IF(D196="","",Y196)</f>
        <v/>
      </c>
      <c r="C196" s="8" t="str">
        <f aca="false">IF(D196="","",Y196&amp;"_"&amp;D196)</f>
        <v/>
      </c>
      <c r="D196" s="9"/>
      <c r="E196" s="8" t="str">
        <f aca="false">IF(D196="","",TRIM(D196&amp;" "&amp;Y196&amp;" "&amp;Z196&amp;" "&amp;IF(AA196="","",TEXT(AA196,"0.00")&amp;"g")&amp;" "&amp;AB196&amp;" "&amp;AF196&amp;IF(AC196="",""," Sz# "&amp;AC196)&amp;IF(AD196="Preloved"," [Preloved]","")))</f>
        <v/>
      </c>
      <c r="F196" s="8"/>
      <c r="G196" s="10"/>
      <c r="H196" s="10"/>
      <c r="I196" s="8" t="str">
        <f aca="false">IF(D196="","",1)</f>
        <v/>
      </c>
      <c r="J196" s="8"/>
      <c r="K196" s="8" t="str">
        <f aca="false">IF(AA196="","",AA196/1000)</f>
        <v/>
      </c>
      <c r="L196" s="9"/>
      <c r="M196" s="9"/>
      <c r="N196" s="8"/>
      <c r="O196" s="9"/>
      <c r="P196" s="9"/>
      <c r="Q196" s="9"/>
      <c r="R196" s="9"/>
      <c r="S196" s="9"/>
      <c r="T196" s="9"/>
      <c r="U196" s="9"/>
      <c r="V196" s="9"/>
      <c r="W196" s="9"/>
      <c r="X196" s="9"/>
      <c r="Y196" s="9"/>
      <c r="Z196" s="9"/>
      <c r="AA196" s="9"/>
      <c r="AB196" s="9"/>
      <c r="AC196" s="9"/>
      <c r="AD196" s="9"/>
      <c r="AE196" s="9"/>
      <c r="AF196" s="9"/>
    </row>
    <row r="197" customFormat="false" ht="15" hidden="false" customHeight="false" outlineLevel="0" collapsed="false">
      <c r="A197" s="8"/>
      <c r="B197" s="8" t="str">
        <f aca="false">IF(D197="","",Y197)</f>
        <v/>
      </c>
      <c r="C197" s="8" t="str">
        <f aca="false">IF(D197="","",Y197&amp;"_"&amp;D197)</f>
        <v/>
      </c>
      <c r="D197" s="9"/>
      <c r="E197" s="8" t="str">
        <f aca="false">IF(D197="","",TRIM(D197&amp;" "&amp;Y197&amp;" "&amp;Z197&amp;" "&amp;IF(AA197="","",TEXT(AA197,"0.00")&amp;"g")&amp;" "&amp;AB197&amp;" "&amp;AF197&amp;IF(AC197="",""," Sz# "&amp;AC197)&amp;IF(AD197="Preloved"," [Preloved]","")))</f>
        <v/>
      </c>
      <c r="F197" s="8"/>
      <c r="G197" s="10"/>
      <c r="H197" s="10"/>
      <c r="I197" s="8" t="str">
        <f aca="false">IF(D197="","",1)</f>
        <v/>
      </c>
      <c r="J197" s="8"/>
      <c r="K197" s="8" t="str">
        <f aca="false">IF(AA197="","",AA197/1000)</f>
        <v/>
      </c>
      <c r="L197" s="9"/>
      <c r="M197" s="9"/>
      <c r="N197" s="8"/>
      <c r="O197" s="9"/>
      <c r="P197" s="9"/>
      <c r="Q197" s="9"/>
      <c r="R197" s="9"/>
      <c r="S197" s="9"/>
      <c r="T197" s="9"/>
      <c r="U197" s="9"/>
      <c r="V197" s="9"/>
      <c r="W197" s="9"/>
      <c r="X197" s="9"/>
      <c r="Y197" s="9"/>
      <c r="Z197" s="9"/>
      <c r="AA197" s="9"/>
      <c r="AB197" s="9"/>
      <c r="AC197" s="9"/>
      <c r="AD197" s="9"/>
      <c r="AE197" s="9"/>
      <c r="AF197" s="9"/>
    </row>
    <row r="198" customFormat="false" ht="15" hidden="false" customHeight="false" outlineLevel="0" collapsed="false">
      <c r="A198" s="8"/>
      <c r="B198" s="8" t="str">
        <f aca="false">IF(D198="","",Y198)</f>
        <v/>
      </c>
      <c r="C198" s="8" t="str">
        <f aca="false">IF(D198="","",Y198&amp;"_"&amp;D198)</f>
        <v/>
      </c>
      <c r="D198" s="9"/>
      <c r="E198" s="8" t="str">
        <f aca="false">IF(D198="","",TRIM(D198&amp;" "&amp;Y198&amp;" "&amp;Z198&amp;" "&amp;IF(AA198="","",TEXT(AA198,"0.00")&amp;"g")&amp;" "&amp;AB198&amp;" "&amp;AF198&amp;IF(AC198="",""," Sz# "&amp;AC198)&amp;IF(AD198="Preloved"," [Preloved]","")))</f>
        <v/>
      </c>
      <c r="F198" s="8"/>
      <c r="G198" s="10"/>
      <c r="H198" s="10"/>
      <c r="I198" s="8" t="str">
        <f aca="false">IF(D198="","",1)</f>
        <v/>
      </c>
      <c r="J198" s="8"/>
      <c r="K198" s="8" t="str">
        <f aca="false">IF(AA198="","",AA198/1000)</f>
        <v/>
      </c>
      <c r="L198" s="9"/>
      <c r="M198" s="9"/>
      <c r="N198" s="8"/>
      <c r="O198" s="9"/>
      <c r="P198" s="9"/>
      <c r="Q198" s="9"/>
      <c r="R198" s="9"/>
      <c r="S198" s="9"/>
      <c r="T198" s="9"/>
      <c r="U198" s="9"/>
      <c r="V198" s="9"/>
      <c r="W198" s="9"/>
      <c r="X198" s="9"/>
      <c r="Y198" s="9"/>
      <c r="Z198" s="9"/>
      <c r="AA198" s="9"/>
      <c r="AB198" s="9"/>
      <c r="AC198" s="9"/>
      <c r="AD198" s="9"/>
      <c r="AE198" s="9"/>
      <c r="AF198" s="9"/>
    </row>
    <row r="199" customFormat="false" ht="15" hidden="false" customHeight="false" outlineLevel="0" collapsed="false">
      <c r="A199" s="8"/>
      <c r="B199" s="8" t="str">
        <f aca="false">IF(D199="","",Y199)</f>
        <v/>
      </c>
      <c r="C199" s="8" t="str">
        <f aca="false">IF(D199="","",Y199&amp;"_"&amp;D199)</f>
        <v/>
      </c>
      <c r="D199" s="9"/>
      <c r="E199" s="8" t="str">
        <f aca="false">IF(D199="","",TRIM(D199&amp;" "&amp;Y199&amp;" "&amp;Z199&amp;" "&amp;IF(AA199="","",TEXT(AA199,"0.00")&amp;"g")&amp;" "&amp;AB199&amp;" "&amp;AF199&amp;IF(AC199="",""," Sz# "&amp;AC199)&amp;IF(AD199="Preloved"," [Preloved]","")))</f>
        <v/>
      </c>
      <c r="F199" s="8"/>
      <c r="G199" s="10"/>
      <c r="H199" s="10"/>
      <c r="I199" s="8" t="str">
        <f aca="false">IF(D199="","",1)</f>
        <v/>
      </c>
      <c r="J199" s="8"/>
      <c r="K199" s="8" t="str">
        <f aca="false">IF(AA199="","",AA199/1000)</f>
        <v/>
      </c>
      <c r="L199" s="9"/>
      <c r="M199" s="9"/>
      <c r="N199" s="8"/>
      <c r="O199" s="9"/>
      <c r="P199" s="9"/>
      <c r="Q199" s="9"/>
      <c r="R199" s="9"/>
      <c r="S199" s="9"/>
      <c r="T199" s="9"/>
      <c r="U199" s="9"/>
      <c r="V199" s="9"/>
      <c r="W199" s="9"/>
      <c r="X199" s="9"/>
      <c r="Y199" s="9"/>
      <c r="Z199" s="9"/>
      <c r="AA199" s="9"/>
      <c r="AB199" s="9"/>
      <c r="AC199" s="9"/>
      <c r="AD199" s="9"/>
      <c r="AE199" s="9"/>
      <c r="AF199" s="9"/>
    </row>
    <row r="200" customFormat="false" ht="15" hidden="false" customHeight="false" outlineLevel="0" collapsed="false">
      <c r="A200" s="8"/>
      <c r="B200" s="8" t="str">
        <f aca="false">IF(D200="","",Y200)</f>
        <v/>
      </c>
      <c r="C200" s="8" t="str">
        <f aca="false">IF(D200="","",Y200&amp;"_"&amp;D200)</f>
        <v/>
      </c>
      <c r="D200" s="9"/>
      <c r="E200" s="8" t="str">
        <f aca="false">IF(D200="","",TRIM(D200&amp;" "&amp;Y200&amp;" "&amp;Z200&amp;" "&amp;IF(AA200="","",TEXT(AA200,"0.00")&amp;"g")&amp;" "&amp;AB200&amp;" "&amp;AF200&amp;IF(AC200="",""," Sz# "&amp;AC200)&amp;IF(AD200="Preloved"," [Preloved]","")))</f>
        <v/>
      </c>
      <c r="F200" s="8"/>
      <c r="G200" s="10"/>
      <c r="H200" s="10"/>
      <c r="I200" s="8" t="str">
        <f aca="false">IF(D200="","",1)</f>
        <v/>
      </c>
      <c r="J200" s="8"/>
      <c r="K200" s="8" t="str">
        <f aca="false">IF(AA200="","",AA200/1000)</f>
        <v/>
      </c>
      <c r="L200" s="9"/>
      <c r="M200" s="9"/>
      <c r="N200" s="8"/>
      <c r="O200" s="9"/>
      <c r="P200" s="9"/>
      <c r="Q200" s="9"/>
      <c r="R200" s="9"/>
      <c r="S200" s="9"/>
      <c r="T200" s="9"/>
      <c r="U200" s="9"/>
      <c r="V200" s="9"/>
      <c r="W200" s="9"/>
      <c r="X200" s="9"/>
      <c r="Y200" s="9"/>
      <c r="Z200" s="9"/>
      <c r="AA200" s="9"/>
      <c r="AB200" s="9"/>
      <c r="AC200" s="9"/>
      <c r="AD200" s="9"/>
      <c r="AE200" s="9"/>
      <c r="AF200" s="9"/>
    </row>
    <row r="201" customFormat="false" ht="15" hidden="false" customHeight="false" outlineLevel="0" collapsed="false">
      <c r="A201" s="8"/>
      <c r="B201" s="8" t="str">
        <f aca="false">IF(D201="","",Y201)</f>
        <v/>
      </c>
      <c r="C201" s="8" t="str">
        <f aca="false">IF(D201="","",Y201&amp;"_"&amp;D201)</f>
        <v/>
      </c>
      <c r="D201" s="9"/>
      <c r="E201" s="8" t="str">
        <f aca="false">IF(D201="","",TRIM(D201&amp;" "&amp;Y201&amp;" "&amp;Z201&amp;" "&amp;IF(AA201="","",TEXT(AA201,"0.00")&amp;"g")&amp;" "&amp;AB201&amp;" "&amp;AF201&amp;IF(AC201="",""," Sz# "&amp;AC201)&amp;IF(AD201="Preloved"," [Preloved]","")))</f>
        <v/>
      </c>
      <c r="F201" s="8"/>
      <c r="G201" s="10"/>
      <c r="H201" s="10"/>
      <c r="I201" s="8" t="str">
        <f aca="false">IF(D201="","",1)</f>
        <v/>
      </c>
      <c r="J201" s="8"/>
      <c r="K201" s="8" t="str">
        <f aca="false">IF(AA201="","",AA201/1000)</f>
        <v/>
      </c>
      <c r="L201" s="9"/>
      <c r="M201" s="9"/>
      <c r="N201" s="8"/>
      <c r="O201" s="9"/>
      <c r="P201" s="9"/>
      <c r="Q201" s="9"/>
      <c r="R201" s="9"/>
      <c r="S201" s="9"/>
      <c r="T201" s="9"/>
      <c r="U201" s="9"/>
      <c r="V201" s="9"/>
      <c r="W201" s="9"/>
      <c r="X201" s="9"/>
      <c r="Y201" s="9"/>
      <c r="Z201" s="9"/>
      <c r="AA201" s="9"/>
      <c r="AB201" s="9"/>
      <c r="AC201" s="9"/>
      <c r="AD201" s="9"/>
      <c r="AE201" s="9"/>
      <c r="AF201" s="9"/>
    </row>
    <row r="202" customFormat="false" ht="15" hidden="false" customHeight="false" outlineLevel="0" collapsed="false">
      <c r="A202" s="8"/>
      <c r="B202" s="8" t="str">
        <f aca="false">IF(D202="","",Y202)</f>
        <v/>
      </c>
      <c r="C202" s="8" t="str">
        <f aca="false">IF(D202="","",Y202&amp;"_"&amp;D202)</f>
        <v/>
      </c>
      <c r="D202" s="9"/>
      <c r="E202" s="8" t="str">
        <f aca="false">IF(D202="","",TRIM(D202&amp;" "&amp;Y202&amp;" "&amp;Z202&amp;" "&amp;IF(AA202="","",TEXT(AA202,"0.00")&amp;"g")&amp;" "&amp;AB202&amp;" "&amp;AF202&amp;IF(AC202="",""," Sz# "&amp;AC202)&amp;IF(AD202="Preloved"," [Preloved]","")))</f>
        <v/>
      </c>
      <c r="F202" s="8"/>
      <c r="G202" s="10"/>
      <c r="H202" s="10"/>
      <c r="I202" s="8" t="str">
        <f aca="false">IF(D202="","",1)</f>
        <v/>
      </c>
      <c r="J202" s="8"/>
      <c r="K202" s="8" t="str">
        <f aca="false">IF(AA202="","",AA202/1000)</f>
        <v/>
      </c>
      <c r="L202" s="9"/>
      <c r="M202" s="9"/>
      <c r="N202" s="8"/>
      <c r="O202" s="9"/>
      <c r="P202" s="9"/>
      <c r="Q202" s="9"/>
      <c r="R202" s="9"/>
      <c r="S202" s="9"/>
      <c r="T202" s="9"/>
      <c r="U202" s="9"/>
      <c r="V202" s="9"/>
      <c r="W202" s="9"/>
      <c r="X202" s="9"/>
      <c r="Y202" s="9"/>
      <c r="Z202" s="9"/>
      <c r="AA202" s="9"/>
      <c r="AB202" s="9"/>
      <c r="AC202" s="9"/>
      <c r="AD202" s="9"/>
      <c r="AE202" s="9"/>
      <c r="AF202" s="9"/>
    </row>
    <row r="203" customFormat="false" ht="15" hidden="false" customHeight="false" outlineLevel="0" collapsed="false">
      <c r="A203" s="8"/>
      <c r="B203" s="8" t="str">
        <f aca="false">IF(D203="","",Y203)</f>
        <v/>
      </c>
      <c r="C203" s="8" t="str">
        <f aca="false">IF(D203="","",Y203&amp;"_"&amp;D203)</f>
        <v/>
      </c>
      <c r="D203" s="9"/>
      <c r="E203" s="8" t="str">
        <f aca="false">IF(D203="","",TRIM(D203&amp;" "&amp;Y203&amp;" "&amp;Z203&amp;" "&amp;IF(AA203="","",TEXT(AA203,"0.00")&amp;"g")&amp;" "&amp;AB203&amp;" "&amp;AF203&amp;IF(AC203="",""," Sz# "&amp;AC203)&amp;IF(AD203="Preloved"," [Preloved]","")))</f>
        <v/>
      </c>
      <c r="F203" s="8"/>
      <c r="G203" s="10"/>
      <c r="H203" s="10"/>
      <c r="I203" s="8" t="str">
        <f aca="false">IF(D203="","",1)</f>
        <v/>
      </c>
      <c r="J203" s="8"/>
      <c r="K203" s="8" t="str">
        <f aca="false">IF(AA203="","",AA203/1000)</f>
        <v/>
      </c>
      <c r="L203" s="9"/>
      <c r="M203" s="9"/>
      <c r="N203" s="8"/>
      <c r="O203" s="9"/>
      <c r="P203" s="9"/>
      <c r="Q203" s="9"/>
      <c r="R203" s="9"/>
      <c r="S203" s="9"/>
      <c r="T203" s="9"/>
      <c r="U203" s="9"/>
      <c r="V203" s="9"/>
      <c r="W203" s="9"/>
      <c r="X203" s="9"/>
      <c r="Y203" s="9"/>
      <c r="Z203" s="9"/>
      <c r="AA203" s="9"/>
      <c r="AB203" s="9"/>
      <c r="AC203" s="9"/>
      <c r="AD203" s="9"/>
      <c r="AE203" s="9"/>
      <c r="AF203" s="9"/>
    </row>
    <row r="204" customFormat="false" ht="15" hidden="false" customHeight="false" outlineLevel="0" collapsed="false">
      <c r="A204" s="8"/>
      <c r="B204" s="8" t="str">
        <f aca="false">IF(D204="","",Y204)</f>
        <v/>
      </c>
      <c r="C204" s="8" t="str">
        <f aca="false">IF(D204="","",Y204&amp;"_"&amp;D204)</f>
        <v/>
      </c>
      <c r="D204" s="9"/>
      <c r="E204" s="8" t="str">
        <f aca="false">IF(D204="","",TRIM(D204&amp;" "&amp;Y204&amp;" "&amp;Z204&amp;" "&amp;IF(AA204="","",TEXT(AA204,"0.00")&amp;"g")&amp;" "&amp;AB204&amp;" "&amp;AF204&amp;IF(AC204="",""," Sz# "&amp;AC204)&amp;IF(AD204="Preloved"," [Preloved]","")))</f>
        <v/>
      </c>
      <c r="F204" s="8"/>
      <c r="G204" s="10"/>
      <c r="H204" s="10"/>
      <c r="I204" s="8" t="str">
        <f aca="false">IF(D204="","",1)</f>
        <v/>
      </c>
      <c r="J204" s="8"/>
      <c r="K204" s="8" t="str">
        <f aca="false">IF(AA204="","",AA204/1000)</f>
        <v/>
      </c>
      <c r="L204" s="9"/>
      <c r="M204" s="9"/>
      <c r="N204" s="8"/>
      <c r="O204" s="9"/>
      <c r="P204" s="9"/>
      <c r="Q204" s="9"/>
      <c r="R204" s="9"/>
      <c r="S204" s="9"/>
      <c r="T204" s="9"/>
      <c r="U204" s="9"/>
      <c r="V204" s="9"/>
      <c r="W204" s="9"/>
      <c r="X204" s="9"/>
      <c r="Y204" s="9"/>
      <c r="Z204" s="9"/>
      <c r="AA204" s="9"/>
      <c r="AB204" s="9"/>
      <c r="AC204" s="9"/>
      <c r="AD204" s="9"/>
      <c r="AE204" s="9"/>
      <c r="AF204" s="9"/>
    </row>
  </sheetData>
  <dataValidations count="6">
    <dataValidation allowBlank="true" errorStyle="stop" operator="between" showDropDown="false" showErrorMessage="false" showInputMessage="false" sqref="Y5:Y204" type="list">
      <formula1>Lists!$A$2:$A$8</formula1>
      <formula2>0</formula2>
    </dataValidation>
    <dataValidation allowBlank="true" errorStyle="stop" operator="between" showDropDown="false" showErrorMessage="false" showInputMessage="false" sqref="Z5:Z204" type="list">
      <formula1>Lists!$B$2:$B$14</formula1>
      <formula2>0</formula2>
    </dataValidation>
    <dataValidation allowBlank="true" errorStyle="stop" operator="between" showDropDown="false" showErrorMessage="false" showInputMessage="false" sqref="AD5:AD204" type="list">
      <formula1>Lists!$C$2:$C$3</formula1>
      <formula2>0</formula2>
    </dataValidation>
    <dataValidation allowBlank="true" errorStyle="stop" operator="between" showDropDown="false" showErrorMessage="false" showInputMessage="false" sqref="AE5:AE204" type="list">
      <formula1>Lists!$D$2:$D$3</formula1>
      <formula2>0</formula2>
    </dataValidation>
    <dataValidation allowBlank="true" errorStyle="stop" operator="between" showDropDown="false" showErrorMessage="false" showInputMessage="false" sqref="M5:M204" type="list">
      <formula1>Lists!$E$2:$E$3</formula1>
      <formula2>0</formula2>
    </dataValidation>
    <dataValidation allowBlank="true" errorStyle="stop" operator="between" showDropDown="false" showErrorMessage="false" showInputMessage="false" sqref="AG5:AG204" type="list">
      <formula1>Lists!$F$2:$F$5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8"/>
  </cols>
  <sheetData>
    <row r="1" customFormat="false" ht="15" hidden="false" customHeight="false" outlineLevel="0" collapsed="false">
      <c r="A1" s="12" t="s">
        <v>113</v>
      </c>
      <c r="B1" s="12" t="s">
        <v>114</v>
      </c>
      <c r="C1" s="12" t="s">
        <v>115</v>
      </c>
      <c r="D1" s="12" t="s">
        <v>116</v>
      </c>
      <c r="E1" s="12" t="s">
        <v>117</v>
      </c>
      <c r="F1" s="12" t="inlineStr">
        <is>
          <t xml:space="preserve">origin</t>
        </is>
      </c>
    </row>
    <row r="2" customFormat="false" ht="15" hidden="false" customHeight="false" outlineLevel="0" collapsed="false">
      <c r="A2" s="13" t="s">
        <v>101</v>
      </c>
      <c r="B2" t="s">
        <v>179</v>
      </c>
      <c r="C2" s="13" t="s">
        <v>118</v>
      </c>
      <c r="D2" s="13" t="s">
        <v>119</v>
      </c>
      <c r="E2" s="13" t="s">
        <v>120</v>
      </c>
      <c r="F2" s="13" t="inlineStr">
        <is>
          <t xml:space="preserve">Made in Japan</t>
        </is>
      </c>
    </row>
    <row r="3" customFormat="false" ht="15" hidden="false" customHeight="false" outlineLevel="0" collapsed="false">
      <c r="A3" s="13" t="s">
        <v>121</v>
      </c>
      <c r="B3" t="s">
        <v>102</v>
      </c>
      <c r="C3" s="13" t="s">
        <v>105</v>
      </c>
      <c r="D3" s="13" t="s">
        <v>106</v>
      </c>
      <c r="E3" s="13" t="s">
        <v>100</v>
      </c>
      <c r="F3" s="13" t="inlineStr">
        <is>
          <t xml:space="preserve">Branded</t>
        </is>
      </c>
    </row>
    <row r="4" customFormat="false" ht="15" hidden="false" customHeight="false" outlineLevel="0" collapsed="false">
      <c r="A4" s="13" t="s">
        <v>123</v>
      </c>
      <c r="B4" t="s">
        <v>180</v>
      </c>
      <c r="F4" s="13" t="inlineStr">
        <is>
          <t xml:space="preserve">Other</t>
        </is>
      </c>
    </row>
    <row r="5" customFormat="false" ht="15" hidden="false" customHeight="false" outlineLevel="0" collapsed="false">
      <c r="A5" s="13" t="s">
        <v>125</v>
      </c>
      <c r="B5" t="s">
        <v>181</v>
      </c>
      <c r="F5" s="13" t="inlineStr">
        <is>
          <t xml:space="preserve">Unknown</t>
        </is>
      </c>
    </row>
    <row r="6" customFormat="false" ht="15" hidden="false" customHeight="false" outlineLevel="0" collapsed="false">
      <c r="A6" s="13" t="s">
        <v>127</v>
      </c>
      <c r="B6" t="s">
        <v>122</v>
      </c>
    </row>
    <row r="7" customFormat="false" ht="15" hidden="false" customHeight="false" outlineLevel="0" collapsed="false">
      <c r="A7" s="13" t="s">
        <v>129</v>
      </c>
      <c r="B7" t="s">
        <v>124</v>
      </c>
    </row>
    <row r="8" customFormat="false" ht="15" hidden="false" customHeight="false" outlineLevel="0" collapsed="false">
      <c r="A8" s="13" t="s">
        <v>131</v>
      </c>
      <c r="B8" t="s">
        <v>126</v>
      </c>
    </row>
    <row r="9">
      <c r="B9" t="s">
        <v>128</v>
      </c>
    </row>
    <row r="10">
      <c r="B10" t="s">
        <v>130</v>
      </c>
    </row>
    <row r="11">
      <c r="B11" t="s">
        <v>182</v>
      </c>
    </row>
    <row r="12">
      <c r="B12" t="s">
        <v>183</v>
      </c>
    </row>
    <row r="13">
      <c r="B13" t="s">
        <v>184</v>
      </c>
    </row>
    <row r="14">
      <c r="B14" t="s">
        <v>132</v>
      </c>
    </row>
    <row r="16">
      <c r="A16" t="inlineStr">
        <is>
          <t xml:space="preserve">The import dialog shows the live list; this sheet is a snapshot</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26"/>
    <col collapsed="false" customWidth="true" hidden="false" outlineLevel="0" max="4" min="4" style="0" width="58"/>
    <col collapsed="false" customWidth="true" hidden="false" outlineLevel="0" max="5" min="5" style="0" width="48"/>
  </cols>
  <sheetData>
    <row r="1" customFormat="false" ht="15" hidden="false" customHeight="false" outlineLevel="0" collapsed="false">
      <c r="A1" s="14" t="s">
        <v>133</v>
      </c>
      <c r="B1" s="14" t="s">
        <v>134</v>
      </c>
      <c r="C1" s="14" t="s">
        <v>135</v>
      </c>
      <c r="D1" s="14" t="s">
        <v>136</v>
      </c>
      <c r="E1" s="14" t="s">
        <v>137</v>
      </c>
    </row>
    <row r="2" customFormat="false" ht="15" hidden="false" customHeight="false" outlineLevel="0" collapsed="false">
      <c r="A2" s="15" t="s">
        <v>13</v>
      </c>
      <c r="B2" s="15" t="s">
        <v>43</v>
      </c>
      <c r="C2" s="15" t="s">
        <v>138</v>
      </c>
      <c r="D2" s="15" t="s">
        <v>139</v>
      </c>
      <c r="E2" s="15" t="s">
        <v>98</v>
      </c>
    </row>
    <row r="3" customFormat="false" ht="23.85" hidden="false" customHeight="false" outlineLevel="0" collapsed="false">
      <c r="A3" s="15" t="s">
        <v>14</v>
      </c>
      <c r="B3" s="15" t="s">
        <v>140</v>
      </c>
      <c r="C3" s="15" t="s">
        <v>141</v>
      </c>
      <c r="D3" s="15" t="s">
        <v>142</v>
      </c>
      <c r="E3" s="15" t="s">
        <v>143</v>
      </c>
    </row>
    <row r="4" customFormat="false" ht="15" hidden="false" customHeight="false" outlineLevel="0" collapsed="false">
      <c r="A4" s="15" t="s">
        <v>34</v>
      </c>
      <c r="B4" s="15" t="s">
        <v>43</v>
      </c>
      <c r="C4" s="15" t="s">
        <v>144</v>
      </c>
      <c r="D4" s="15" t="s">
        <v>145</v>
      </c>
      <c r="E4" s="15" t="s">
        <v>101</v>
      </c>
    </row>
    <row r="5" customFormat="false" ht="15" hidden="false" customHeight="false" outlineLevel="0" collapsed="false">
      <c r="A5" s="15" t="s">
        <v>35</v>
      </c>
      <c r="B5" s="15" t="s">
        <v>43</v>
      </c>
      <c r="C5" s="15" t="s">
        <v>146</v>
      </c>
      <c r="D5" s="15" t="s">
        <v>147</v>
      </c>
      <c r="E5" t="s">
        <v>185</v>
      </c>
    </row>
    <row r="6" customFormat="false" ht="15" hidden="false" customHeight="false" outlineLevel="0" collapsed="false">
      <c r="A6" s="15" t="s">
        <v>36</v>
      </c>
      <c r="B6" s="15" t="s">
        <v>43</v>
      </c>
      <c r="C6" s="15" t="s">
        <v>148</v>
      </c>
      <c r="D6" s="15" t="s">
        <v>149</v>
      </c>
      <c r="E6" s="15" t="s">
        <v>150</v>
      </c>
    </row>
    <row r="7" customFormat="false" ht="15" hidden="false" customHeight="false" outlineLevel="0" collapsed="false">
      <c r="A7" s="15" t="s">
        <v>21</v>
      </c>
      <c r="B7" s="15" t="s">
        <v>43</v>
      </c>
      <c r="C7" s="15" t="s">
        <v>151</v>
      </c>
      <c r="D7" s="15" t="s">
        <v>152</v>
      </c>
      <c r="E7" s="15" t="s">
        <v>153</v>
      </c>
    </row>
    <row r="8" customFormat="false" ht="15" hidden="false" customHeight="false" outlineLevel="0" collapsed="false">
      <c r="A8" s="15" t="s">
        <v>39</v>
      </c>
      <c r="B8" s="15" t="s">
        <v>43</v>
      </c>
      <c r="C8" s="15" t="s">
        <v>154</v>
      </c>
      <c r="D8" s="15" t="s">
        <v>155</v>
      </c>
      <c r="E8" s="15" t="s">
        <v>105</v>
      </c>
    </row>
    <row r="9" customFormat="false" ht="15" hidden="false" customHeight="false" outlineLevel="0" collapsed="false">
      <c r="A9" s="15" t="s">
        <v>40</v>
      </c>
      <c r="B9" s="15" t="s">
        <v>43</v>
      </c>
      <c r="C9" s="15" t="s">
        <v>156</v>
      </c>
      <c r="D9" s="15" t="s">
        <v>157</v>
      </c>
      <c r="E9" s="15" t="s">
        <v>106</v>
      </c>
    </row>
    <row r="10" customFormat="false" ht="15" hidden="false" customHeight="false" outlineLevel="0" collapsed="false">
      <c r="A10" s="15" t="s">
        <v>38</v>
      </c>
      <c r="B10" s="15" t="s">
        <v>42</v>
      </c>
      <c r="C10" s="15" t="s">
        <v>158</v>
      </c>
      <c r="D10" s="15" t="s">
        <v>159</v>
      </c>
      <c r="E10" s="15" t="s">
        <v>104</v>
      </c>
    </row>
    <row r="11" customFormat="false" ht="15" hidden="false" customHeight="false" outlineLevel="0" collapsed="false">
      <c r="A11" s="15" t="s">
        <v>37</v>
      </c>
      <c r="B11" s="15" t="s">
        <v>42</v>
      </c>
      <c r="C11" s="15" t="s">
        <v>160</v>
      </c>
      <c r="D11" s="15" t="s">
        <v>161</v>
      </c>
      <c r="E11" s="15" t="s">
        <v>103</v>
      </c>
    </row>
    <row r="12" customFormat="false" ht="15" hidden="false" customHeight="false" outlineLevel="0" collapsed="false">
      <c r="A12" s="15" t="s">
        <v>16</v>
      </c>
      <c r="B12" s="15" t="s">
        <v>43</v>
      </c>
      <c r="C12" s="15" t="s">
        <v>162</v>
      </c>
      <c r="D12" s="15" t="s">
        <v>163</v>
      </c>
      <c r="E12" s="15" t="s">
        <v>164</v>
      </c>
    </row>
    <row r="13" customFormat="false" ht="15" hidden="false" customHeight="false" outlineLevel="0" collapsed="false">
      <c r="A13" s="15" t="s">
        <v>17</v>
      </c>
      <c r="B13" s="15" t="s">
        <v>42</v>
      </c>
      <c r="C13" s="15" t="s">
        <v>165</v>
      </c>
      <c r="D13" s="15" t="s">
        <v>166</v>
      </c>
      <c r="E13" s="15" t="s">
        <v>167</v>
      </c>
    </row>
    <row r="14" customFormat="false" ht="15" hidden="false" customHeight="false" outlineLevel="0" collapsed="false">
      <c r="A14" s="15" t="s">
        <v>18</v>
      </c>
      <c r="B14" s="15" t="s">
        <v>140</v>
      </c>
      <c r="C14" s="15" t="s">
        <v>168</v>
      </c>
      <c r="D14" s="15" t="s">
        <v>169</v>
      </c>
      <c r="E14" s="15" t="s">
        <v>170</v>
      </c>
    </row>
    <row r="15" customFormat="false" ht="15" hidden="false" customHeight="false" outlineLevel="0" collapsed="false">
      <c r="A15" s="15" t="s">
        <v>171</v>
      </c>
      <c r="B15" s="15" t="s">
        <v>42</v>
      </c>
      <c r="C15" s="15" t="s">
        <v>172</v>
      </c>
      <c r="D15" s="15" t="s">
        <v>173</v>
      </c>
      <c r="E15" s="15" t="s">
        <v>174</v>
      </c>
    </row>
    <row r="16" customFormat="false" ht="57.45" hidden="false" customHeight="false" outlineLevel="0" collapsed="false">
      <c r="A16" s="15" t="s">
        <v>175</v>
      </c>
      <c r="B16" s="15" t="s">
        <v>176</v>
      </c>
      <c r="C16" s="15" t="s">
        <v>177</v>
      </c>
      <c r="D16" s="15" t="s">
        <v>178</v>
      </c>
      <c r="E16" s="15"/>
    </row>
    <row r="17">
      <c r="A17" s="15" t="inlineStr">
        <is>
          <t xml:space="preserve">hub_origin</t>
        </is>
      </c>
      <c r="B17" s="15" t="inlineStr">
        <is>
          <t xml:space="preserve">optional</t>
        </is>
      </c>
      <c r="C17" s="15" t="inlineStr">
        <is>
          <t xml:space="preserve">Origin</t>
        </is>
      </c>
      <c r="D17" s="15" t="inlineStr">
        <is>
          <t xml:space="preserve">Made in Japan / Branded / Other / Unknown. Blank = Unknown. Only Made in Japan lets the site say 日本製.</t>
        </is>
      </c>
      <c r="E17" s="15" t="inlineStr">
        <is>
          <t xml:space="preserve">Unknown</t>
        </is>
      </c>
    </row>
    <row r="18">
      <c r="A18" s="15" t="inlineStr">
        <is>
          <t xml:space="preserve">hub_brand</t>
        </is>
      </c>
      <c r="B18" s="15" t="inlineStr">
        <is>
          <t xml:space="preserve">optional</t>
        </is>
      </c>
      <c r="C18" s="15" t="inlineStr">
        <is>
          <t xml:space="preserve">Brand</t>
        </is>
      </c>
      <c r="D18" s="15" t="inlineStr">
        <is>
          <t xml:space="preserve">Brand name; required when hub_origin is Branded. Shown on the site only then.</t>
        </is>
      </c>
      <c r="E18" s="15" t="inlineStr">
        <is>
          <t xml:space="preserve">Tiffany &amp; Co.</t>
        </is>
      </c>
    </row>
    <row r="19">
      <c r="A19" s="15" t="inlineStr">
        <is>
          <t xml:space="preserve">collection_slugs</t>
        </is>
      </c>
      <c r="B19" s="15" t="inlineStr">
        <is>
          <t xml:space="preserve">optional</t>
        </is>
      </c>
      <c r="C19" s="15" t="inlineStr">
        <is>
          <t xml:space="preserve">Jewelry types</t>
        </is>
      </c>
      <c r="D19" s="15" t="inlineStr">
        <is>
          <t xml:space="preserve">Extra jewelry types for this piece, by slug, separated with |. hub_jewelry_type stays the main type. Blank = keep the piece's existing types.</t>
        </is>
      </c>
      <c r="E19" s="15" t="inlineStr">
        <is>
          <t xml:space="preserve">necklaces|pendants</t>
        </is>
      </c>
    </row>
    <row r="20">
      <c r="A20" s="15" t="inlineStr">
        <is>
          <t xml:space="preserve">category_slugs</t>
        </is>
      </c>
      <c r="B20" s="15" t="inlineStr">
        <is>
          <t xml:space="preserve">optional</t>
        </is>
      </c>
      <c r="C20" s="15" t="inlineStr">
        <is>
          <t xml:space="preserve">Categories</t>
        </is>
      </c>
      <c r="D20" s="15" t="inlineStr">
        <is>
          <t xml:space="preserve">Website categories for this piece, by slug, separated with |. Blank = keep the piece's existing categories; only Replace removes them.</t>
        </is>
      </c>
      <c r="E20" s="15" t="inlineStr">
        <is>
          <t xml:space="preserve">preloved|gifts</t>
        </is>
      </c>
    </row>
    <row r="21">
      <c r="A21" s="15" t="inlineStr">
        <is>
          <t xml:space="preserve">hub_sale_price</t>
        </is>
      </c>
      <c r="B21" s="15" t="inlineStr">
        <is>
          <t xml:space="preserve">optional</t>
        </is>
      </c>
      <c r="C21" s="15" t="inlineStr">
        <is>
          <t xml:space="preserve">Sale price (JPY)</t>
        </is>
      </c>
      <c r="D21" s="15" t="inlineStr">
        <is>
          <t xml:space="preserve">Integer yen, below price. Blank = keep the existing sale (remove one in Edit product). The website charges it everywhere and shows price struck through.</t>
        </is>
      </c>
      <c r="E21" s="15" t="inlineStr">
        <is>
          <t xml:space="preserve">550000</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dimension ref="A1:C8"/>
  <sheetViews>
    <sheetView workbookViewId="0"/>
  </sheetViews>
  <sheetFormatPr defaultRowHeight="15"/>
  <cols>
    <col min="1" max="2" width="20" customWidth="1"/>
    <col min="3" max="3" width="110" customWidth="1"/>
  </cols>
  <sheetData>
    <row r="1">
      <c r="A1" s="12" t="inlineStr">
        <is>
          <t xml:space="preserve">collection_slug</t>
        </is>
      </c>
      <c r="B1" s="12" t="inlineStr">
        <is>
          <t xml:space="preserve">category_slug</t>
        </is>
      </c>
      <c r="C1" s="0" t="inlineStr">
        <is>
          <t xml:space="preserve">note</t>
        </is>
      </c>
    </row>
    <row r="2">
      <c r="A2" s="13" t="inlineStr">
        <is>
          <t xml:space="preserve">anklets</t>
        </is>
      </c>
      <c r="C2" s="0" t="inlineStr">
        <is>
          <t xml:space="preserve">collection_slug: the jewelry types the Hub shipped with. The live list is Hub › Website Catalog › Jewelry types.</t>
        </is>
      </c>
    </row>
    <row r="3">
      <c r="A3" s="13" t="inlineStr">
        <is>
          <t xml:space="preserve">bracelets</t>
        </is>
      </c>
      <c r="C3" s="0" t="inlineStr">
        <is>
          <t xml:space="preserve">category_slug: categories are managed in Hub › Website Catalog › Categories; the upload dialog lists the live slugs.</t>
        </is>
      </c>
    </row>
    <row r="4">
      <c r="A4" s="13" t="inlineStr">
        <is>
          <t xml:space="preserve">earrings</t>
        </is>
      </c>
      <c r="C4" s="0" t="inlineStr">
        <is>
          <t xml:space="preserve">Separate several slugs with | in collection_slugs / category_slugs on the Upload sheet. Unknown slugs stop the row.</t>
        </is>
      </c>
    </row>
    <row r="5">
      <c r="A5" s="13" t="inlineStr">
        <is>
          <t xml:space="preserve">necklaces</t>
        </is>
      </c>
      <c r="C5" s="0" t="inlineStr">
        <is>
          <t xml:space="preserve">The import dialog shows the live list; this sheet is a snapshot</t>
        </is>
      </c>
    </row>
    <row r="6">
      <c r="A6" s="13" t="inlineStr">
        <is>
          <t xml:space="preserve">pendants</t>
        </is>
      </c>
    </row>
    <row r="7">
      <c r="A7" s="13" t="inlineStr">
        <is>
          <t xml:space="preserve">rings</t>
        </is>
      </c>
    </row>
    <row r="8">
      <c r="A8" s="13" t="inlineStr">
        <is>
          <t xml:space="preserve">sets</t>
        </is>
      </c>
    </row>
  </sheetData>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2026-09-09T01:14:09Z</dcterms:created>
  <dc:creator>openpyxl</dc:creator>
  <dc:description/>
  <dc:language>en-US</dc:language>
  <cp:lastModifiedBy/>
  <dcterms:modified xsi:type="dcterms:W3CDTF">2026-09-09T01:14:09Z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